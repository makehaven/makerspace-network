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9e329f68b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efb0f0cfdf44dc3"/>
    <x:sheet xmlns:r="http://schemas.openxmlformats.org/officeDocument/2006/relationships" name="Profile" sheetId="2" r:id="Rf0e786bcdb934c89"/>
    <x:sheet xmlns:r="http://schemas.openxmlformats.org/officeDocument/2006/relationships" name="Assessment" sheetId="3" r:id="R82c8d369d1504699"/>
    <x:sheet xmlns:r="http://schemas.openxmlformats.org/officeDocument/2006/relationships" name="Dashboard" sheetId="4" r:id="Readb0e4c0c1a4215"/>
    <x:sheet xmlns:r="http://schemas.openxmlformats.org/officeDocument/2006/relationships" name="Action Plan" sheetId="5" r:id="R6804e67317c74a64"/>
    <x:sheet xmlns:r="http://schemas.openxmlformats.org/officeDocument/2006/relationships" name="Scoring Guide" sheetId="6" r:id="R7e2a0a0a1c2d4e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%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43A40"/>
      <x:name val="Carlito"/>
    </x:font>
    <x:font>
      <x:b/>
      <x:sz val="11"/>
      <x:color rgb="FFFFFFFF"/>
      <x:name val="Carlito"/>
    </x:font>
    <x:font>
      <x:b/>
      <x:sz val="11"/>
      <x:color rgb="FF7F3300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343A40"/>
      <x:name val="Aptos"/>
    </x:font>
    <x:font>
      <x:b/>
      <x:sz val="11"/>
      <x:color rgb="FFFFFFFF"/>
      <x:name val="Aptos"/>
    </x:font>
    <x:font>
      <x:b/>
      <x:sz val="11"/>
      <x:color rgb="FF7F3300"/>
      <x:name val="Aptos"/>
    </x:font>
    <x:font>
      <x:sz val="11"/>
      <x:color rgb="FF202124"/>
      <x:name val="Carlito"/>
    </x:font>
    <x:font>
      <x:sz val="11"/>
      <x:color rgb="FF202124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C8202F"/>
      </x:patternFill>
    </x:fill>
    <x:fill>
      <x:patternFill patternType="solid">
        <x:fgColor rgb="FFE9ECEF"/>
      </x:patternFill>
    </x:fill>
    <x:fill>
      <x:patternFill patternType="solid">
        <x:fgColor rgb="FFF7F8FA"/>
      </x:patternFill>
    </x:fill>
    <x:fill>
      <x:patternFill patternType="solid">
        <x:fgColor rgb="FF343A40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CE5CD"/>
      </x:patternFill>
    </x:fill>
    <x:fill>
      <x:patternFill patternType="solid">
        <x:fgColor rgb="FFFFF8E1"/>
      </x:patternFill>
    </x:fill>
  </x:fills>
  <x:borders count="21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>
      <x:left style="thin">
        <x:color rgb="FFD5B85A"/>
      </x:left>
      <x:right style="thin">
        <x:color rgb="FFD5B85A"/>
      </x:right>
      <x:top style="thin">
        <x:color rgb="FFD5B85A"/>
      </x:top>
    </x:border>
    <x:border>
      <x:left style="thin">
        <x:color rgb="FFD5B85A"/>
      </x:left>
      <x:right style="thin">
        <x:color rgb="FFD5B85A"/>
      </x:right>
    </x:border>
    <x:border>
      <x:left style="thin">
        <x:color rgb="FFD5B85A"/>
      </x:left>
      <x:right style="thin">
        <x:color rgb="FFD5B85A"/>
      </x:right>
      <x:bottom style="thin">
        <x:color rgb="FFD5B85A"/>
      </x:bottom>
    </x:border>
    <x:border>
      <x:left style="thin">
        <x:color rgb="FFD5B85A"/>
      </x:left>
      <x:top style="thin">
        <x:color rgb="FFD5B85A"/>
      </x:top>
    </x:border>
    <x:border>
      <x:right style="thin">
        <x:color rgb="FFD5B85A"/>
      </x:right>
      <x:top style="thin">
        <x:color rgb="FFD5B85A"/>
      </x:top>
    </x:border>
    <x:border>
      <x:left style="thin">
        <x:color rgb="FFD5B85A"/>
      </x:left>
    </x:border>
    <x:border>
      <x:right style="thin">
        <x:color rgb="FFD5B85A"/>
      </x:right>
    </x:border>
    <x:border>
      <x:left style="thin">
        <x:color rgb="FFD5B85A"/>
      </x:left>
      <x:bottom style="thin">
        <x:color rgb="FFD5B85A"/>
      </x:bottom>
    </x:border>
    <x:border>
      <x:right style="thin">
        <x:color rgb="FFD5B85A"/>
      </x:right>
      <x:bottom style="thin">
        <x:color rgb="FFD5B85A"/>
      </x:bottom>
    </x:border>
    <x:border>
      <x:top style="thin">
        <x:color rgb="FFD5B85A"/>
      </x:top>
    </x:border>
    <x:border>
      <x:bottom style="thin">
        <x:color rgb="FFD5B85A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</x:borders>
  <x:cellStyleXfs count="1">
    <x:xf numFmtId="0" fontId="0" fillId="0" borderId="0"/>
  </x:cellStyleXfs>
  <x:cellXfs count="1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7" xfId="0" applyNumberFormat="1" applyFont="1" applyFill="1" applyBorder="1"/>
    <x:xf numFmtId="0" fontId="10" fillId="9" borderId="8" xfId="0" applyNumberFormat="1" applyFont="1" applyFill="1" applyBorder="1"/>
    <x:xf numFmtId="0" fontId="10" fillId="9" borderId="9" xfId="0" applyNumberFormat="1" applyFont="1" applyFill="1" applyBorder="1"/>
    <x:xf numFmtId="0" fontId="10" fillId="9" borderId="10" xfId="0" applyNumberFormat="1" applyFont="1" applyFill="1" applyBorder="1"/>
    <x:xf numFmtId="0" fontId="10" fillId="9" borderId="11" xfId="0" applyNumberFormat="1" applyFont="1" applyFill="1" applyBorder="1"/>
    <x:xf numFmtId="0" fontId="10" fillId="9" borderId="12" xfId="0" applyNumberFormat="1" applyFont="1" applyFill="1" applyBorder="1"/>
    <x:xf numFmtId="0" fontId="10" fillId="9" borderId="13" xfId="0" applyNumberFormat="1" applyFont="1" applyFill="1" applyBorder="1"/>
    <x:xf numFmtId="0" fontId="10" fillId="9" borderId="14" xfId="0" applyNumberFormat="1" applyFont="1" applyFill="1" applyBorder="1"/>
    <x:xf numFmtId="0" fontId="10" fillId="9" borderId="15" xfId="0" applyNumberFormat="1" applyFont="1" applyFill="1" applyBorder="1"/>
    <x:xf numFmtId="0" fontId="10" fillId="9" borderId="16" xfId="0" applyNumberFormat="1" applyFont="1" applyFill="1" applyBorder="1"/>
    <x:xf numFmtId="0" fontId="10" fillId="9" borderId="17" xfId="0" applyNumberFormat="1" applyFont="1" applyFill="1" applyBorder="1"/>
    <x:xf numFmtId="200" fontId="10" fillId="9" borderId="16" xfId="0" applyNumberFormat="1" applyFont="1" applyFill="1" applyBorder="1"/>
    <x:xf numFmtId="200" fontId="10" fillId="9" borderId="0" xfId="0" applyNumberFormat="1" applyFont="1" applyFill="1" applyBorder="1"/>
    <x:xf numFmtId="200" fontId="10" fillId="9" borderId="17" xfId="0" applyNumberFormat="1" applyFont="1" applyFill="1" applyBorder="1"/>
    <x:xf numFmtId="0" fontId="3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0" fillId="9" borderId="10" xfId="0" applyNumberFormat="1" applyFont="1" applyFill="1" applyBorder="1" applyAlignment="1">
      <x:alignment vertical="top"/>
    </x:xf>
    <x:xf numFmtId="0" fontId="10" fillId="9" borderId="11" xfId="0" applyNumberFormat="1" applyFont="1" applyFill="1" applyBorder="1" applyAlignment="1">
      <x:alignment vertical="top"/>
    </x:xf>
    <x:xf numFmtId="200" fontId="10" fillId="9" borderId="16" xfId="0" applyNumberFormat="1" applyFont="1" applyFill="1" applyBorder="1" applyAlignment="1">
      <x:alignment vertical="top"/>
    </x:xf>
    <x:xf numFmtId="0" fontId="10" fillId="9" borderId="16" xfId="0" applyNumberFormat="1" applyFont="1" applyFill="1" applyBorder="1" applyAlignment="1">
      <x:alignment vertical="top"/>
    </x:xf>
    <x:xf numFmtId="0" fontId="10" fillId="9" borderId="12" xfId="0" applyNumberFormat="1" applyFont="1" applyFill="1" applyBorder="1" applyAlignment="1">
      <x:alignment vertical="top"/>
    </x:xf>
    <x:xf numFmtId="0" fontId="10" fillId="9" borderId="13" xfId="0" applyNumberFormat="1" applyFont="1" applyFill="1" applyBorder="1" applyAlignment="1">
      <x:alignment vertical="top"/>
    </x:xf>
    <x:xf numFmtId="200" fontId="10" fillId="9" borderId="0" xfId="0" applyNumberFormat="1" applyFont="1" applyFill="1" applyBorder="1" applyAlignment="1">
      <x:alignment vertical="top"/>
    </x:xf>
    <x:xf numFmtId="0" fontId="10" fillId="9" borderId="0" xfId="0" applyNumberFormat="1" applyFont="1" applyFill="1" applyBorder="1" applyAlignment="1">
      <x:alignment vertical="top"/>
    </x:xf>
    <x:xf numFmtId="0" fontId="10" fillId="9" borderId="14" xfId="0" applyNumberFormat="1" applyFont="1" applyFill="1" applyBorder="1" applyAlignment="1">
      <x:alignment vertical="top"/>
    </x:xf>
    <x:xf numFmtId="0" fontId="10" fillId="9" borderId="15" xfId="0" applyNumberFormat="1" applyFont="1" applyFill="1" applyBorder="1" applyAlignment="1">
      <x:alignment vertical="top"/>
    </x:xf>
    <x:xf numFmtId="200" fontId="10" fillId="9" borderId="17" xfId="0" applyNumberFormat="1" applyFont="1" applyFill="1" applyBorder="1" applyAlignment="1">
      <x:alignment vertical="top"/>
    </x:xf>
    <x:xf numFmtId="0" fontId="10" fillId="9" borderId="17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0" fillId="9" borderId="11" xfId="0" applyNumberFormat="1" applyFont="1" applyFill="1" applyBorder="1" applyAlignment="1">
      <x:alignment vertical="top" wrapText="1"/>
    </x:xf>
    <x:xf numFmtId="0" fontId="10" fillId="9" borderId="10" xfId="0" applyNumberFormat="1" applyFont="1" applyFill="1" applyBorder="1" applyAlignment="1">
      <x:alignment vertical="top" wrapText="1"/>
    </x:xf>
    <x:xf numFmtId="200" fontId="10" fillId="9" borderId="16" xfId="0" applyNumberFormat="1" applyFont="1" applyFill="1" applyBorder="1" applyAlignment="1">
      <x:alignment vertical="top" wrapText="1"/>
    </x:xf>
    <x:xf numFmtId="0" fontId="10" fillId="9" borderId="16" xfId="0" applyNumberFormat="1" applyFont="1" applyFill="1" applyBorder="1" applyAlignment="1">
      <x:alignment vertical="top" wrapText="1"/>
    </x:xf>
    <x:xf numFmtId="0" fontId="10" fillId="9" borderId="13" xfId="0" applyNumberFormat="1" applyFont="1" applyFill="1" applyBorder="1" applyAlignment="1">
      <x:alignment vertical="top" wrapText="1"/>
    </x:xf>
    <x:xf numFmtId="0" fontId="10" fillId="9" borderId="12" xfId="0" applyNumberFormat="1" applyFont="1" applyFill="1" applyBorder="1" applyAlignment="1">
      <x:alignment vertical="top" wrapText="1"/>
    </x:xf>
    <x:xf numFmtId="200" fontId="10" fillId="9" borderId="0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vertical="top" wrapText="1"/>
    </x:xf>
    <x:xf numFmtId="0" fontId="10" fillId="9" borderId="15" xfId="0" applyNumberFormat="1" applyFont="1" applyFill="1" applyBorder="1" applyAlignment="1">
      <x:alignment vertical="top" wrapText="1"/>
    </x:xf>
    <x:xf numFmtId="0" fontId="10" fillId="9" borderId="14" xfId="0" applyNumberFormat="1" applyFont="1" applyFill="1" applyBorder="1" applyAlignment="1">
      <x:alignment vertical="top" wrapText="1"/>
    </x:xf>
    <x:xf numFmtId="200" fontId="10" fillId="9" borderId="17" xfId="0" applyNumberFormat="1" applyFont="1" applyFill="1" applyBorder="1" applyAlignment="1">
      <x:alignment vertical="top" wrapText="1"/>
    </x:xf>
    <x:xf numFmtId="0" fontId="10" fillId="9" borderId="17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201" fontId="0" fillId="4" borderId="4" xfId="0" applyNumberFormat="1" applyFont="1" applyFill="1" applyBorder="1"/>
    <x:xf numFmtId="202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18" xfId="0" applyNumberFormat="1" applyFont="1" applyFill="1" applyBorder="1"/>
    <x:xf numFmtId="201" fontId="0" fillId="4" borderId="18" xfId="0" applyNumberFormat="1" applyFont="1" applyFill="1" applyBorder="1"/>
    <x:xf numFmtId="0" fontId="0" fillId="4" borderId="19" xfId="0" applyNumberFormat="1" applyFont="1" applyFill="1" applyBorder="1"/>
    <x:xf numFmtId="201" fontId="0" fillId="4" borderId="19" xfId="0" applyNumberFormat="1" applyFont="1" applyFill="1" applyBorder="1"/>
    <x:xf numFmtId="0" fontId="0" fillId="4" borderId="20" xfId="0" applyNumberFormat="1" applyFont="1" applyFill="1" applyBorder="1"/>
    <x:xf numFmtId="201" fontId="0" fillId="4" borderId="20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wrapText="1"/>
    </x:xf>
    <x:xf numFmtId="0" fontId="0" fillId="4" borderId="18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19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20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1" fillId="9" borderId="7" xfId="0" applyNumberFormat="1" applyFont="1" applyFill="1" applyBorder="1"/>
    <x:xf numFmtId="0" fontId="11" fillId="9" borderId="8" xfId="0" applyNumberFormat="1" applyFont="1" applyFill="1" applyBorder="1"/>
    <x:xf numFmtId="0" fontId="11" fillId="9" borderId="9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11" fillId="9" borderId="10" xfId="0" applyNumberFormat="1" applyFont="1" applyFill="1" applyBorder="1" applyAlignment="1">
      <x:alignment vertical="top"/>
    </x:xf>
    <x:xf numFmtId="0" fontId="11" fillId="9" borderId="11" xfId="0" applyNumberFormat="1" applyFont="1" applyFill="1" applyBorder="1" applyAlignment="1">
      <x:alignment vertical="top" wrapText="1"/>
    </x:xf>
    <x:xf numFmtId="0" fontId="11" fillId="9" borderId="10" xfId="0" applyNumberFormat="1" applyFont="1" applyFill="1" applyBorder="1" applyAlignment="1">
      <x:alignment vertical="top" wrapText="1"/>
    </x:xf>
    <x:xf numFmtId="200" fontId="11" fillId="9" borderId="16" xfId="0" applyNumberFormat="1" applyFont="1" applyFill="1" applyBorder="1" applyAlignment="1">
      <x:alignment vertical="top" wrapText="1"/>
    </x:xf>
    <x:xf numFmtId="0" fontId="11" fillId="9" borderId="16" xfId="0" applyNumberFormat="1" applyFont="1" applyFill="1" applyBorder="1" applyAlignment="1">
      <x:alignment vertical="top" wrapText="1"/>
    </x:xf>
    <x:xf numFmtId="0" fontId="11" fillId="9" borderId="12" xfId="0" applyNumberFormat="1" applyFont="1" applyFill="1" applyBorder="1" applyAlignment="1">
      <x:alignment vertical="top"/>
    </x:xf>
    <x:xf numFmtId="0" fontId="11" fillId="9" borderId="13" xfId="0" applyNumberFormat="1" applyFont="1" applyFill="1" applyBorder="1" applyAlignment="1">
      <x:alignment vertical="top" wrapText="1"/>
    </x:xf>
    <x:xf numFmtId="0" fontId="11" fillId="9" borderId="12" xfId="0" applyNumberFormat="1" applyFont="1" applyFill="1" applyBorder="1" applyAlignment="1">
      <x:alignment vertical="top" wrapText="1"/>
    </x:xf>
    <x:xf numFmtId="200" fontId="11" fillId="9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11" fillId="9" borderId="14" xfId="0" applyNumberFormat="1" applyFont="1" applyFill="1" applyBorder="1" applyAlignment="1">
      <x:alignment vertical="top"/>
    </x:xf>
    <x:xf numFmtId="0" fontId="11" fillId="9" borderId="15" xfId="0" applyNumberFormat="1" applyFont="1" applyFill="1" applyBorder="1" applyAlignment="1">
      <x:alignment vertical="top" wrapText="1"/>
    </x:xf>
    <x:xf numFmtId="0" fontId="11" fillId="9" borderId="14" xfId="0" applyNumberFormat="1" applyFont="1" applyFill="1" applyBorder="1" applyAlignment="1">
      <x:alignment vertical="top" wrapText="1"/>
    </x:xf>
    <x:xf numFmtId="200" fontId="11" fillId="9" borderId="17" xfId="0" applyNumberFormat="1" applyFont="1" applyFill="1" applyBorder="1" applyAlignment="1">
      <x:alignment vertical="top" wrapText="1"/>
    </x:xf>
    <x:xf numFmtId="0" fontId="11" fillId="9" borderId="17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201" fontId="6" fillId="4" borderId="4" xfId="0" applyNumberFormat="1" applyFont="1" applyFill="1" applyBorder="1"/>
    <x:xf numFmtId="202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18" xfId="0" applyNumberFormat="1" applyFont="1" applyFill="1" applyBorder="1"/>
    <x:xf numFmtId="201" fontId="6" fillId="4" borderId="18" xfId="0" applyNumberFormat="1" applyFont="1" applyFill="1" applyBorder="1"/>
    <x:xf numFmtId="0" fontId="6" fillId="4" borderId="19" xfId="0" applyNumberFormat="1" applyFont="1" applyFill="1" applyBorder="1"/>
    <x:xf numFmtId="201" fontId="6" fillId="4" borderId="19" xfId="0" applyNumberFormat="1" applyFont="1" applyFill="1" applyBorder="1"/>
    <x:xf numFmtId="0" fontId="6" fillId="4" borderId="20" xfId="0" applyNumberFormat="1" applyFont="1" applyFill="1" applyBorder="1"/>
    <x:xf numFmtId="201" fontId="6" fillId="4" borderId="20" xfId="0" applyNumberFormat="1" applyFont="1" applyFill="1" applyBorder="1"/>
    <x:xf numFmtId="200" fontId="6" fillId="0" borderId="0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wrapText="1"/>
    </x:xf>
    <x:xf numFmtId="0" fontId="6" fillId="4" borderId="18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19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20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777777"/>
      </x:font>
      <x:fill>
        <x:patternFill patternType="solid">
          <x:bgColor rgb="FFE0E0E0"/>
        </x:patternFill>
      </x:fill>
    </x:dxf>
    <x:dxf>
      <x:font>
        <x:b/>
        <x:color rgb="FFFFFFFF"/>
      </x:font>
      <x:fill>
        <x:patternFill patternType="solid">
          <x:bgColor rgb="FFC8202F"/>
        </x:patternFill>
      </x:fill>
    </x:dxf>
    <x:dxf>
      <x:font>
        <x:b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3300"/>
      </x:font>
      <x:fill>
        <x:patternFill patternType="solid">
          <x:bgColor rgb="FFFCE5CD"/>
        </x:patternFill>
      </x:fill>
    </x:dxf>
    <x:dxf>
      <x:font>
        <x:color rgb="FF888888"/>
      </x:font>
      <x:fill>
        <x:patternFill patternType="solid">
          <x:bgColor rgb="FFE0E0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b3ed3ec861474f" /><Relationship Type="http://schemas.openxmlformats.org/officeDocument/2006/relationships/theme" Target="/xl/theme/theme1.xml" Id="R7b631537f536446b" /><Relationship Type="http://schemas.openxmlformats.org/officeDocument/2006/relationships/sharedStrings" Target="/xl/sharedStrings.xml" Id="R44974e226a474efb" /><Relationship Type="http://schemas.openxmlformats.org/officeDocument/2006/relationships/worksheet" Target="/xl/worksheets/sheet1.xml" Id="Rbefb0f0cfdf44dc3" /><Relationship Type="http://schemas.openxmlformats.org/officeDocument/2006/relationships/worksheet" Target="/xl/worksheets/sheet2.xml" Id="Rf0e786bcdb934c89" /><Relationship Type="http://schemas.openxmlformats.org/officeDocument/2006/relationships/worksheet" Target="/xl/worksheets/sheet3.xml" Id="R82c8d369d1504699" /><Relationship Type="http://schemas.openxmlformats.org/officeDocument/2006/relationships/worksheet" Target="/xl/worksheets/sheet4.xml" Id="Readb0e4c0c1a4215" /><Relationship Type="http://schemas.openxmlformats.org/officeDocument/2006/relationships/worksheet" Target="/xl/worksheets/sheet5.xml" Id="R6804e67317c74a64" /><Relationship Type="http://schemas.openxmlformats.org/officeDocument/2006/relationships/worksheet" Target="/xl/worksheets/sheet6.xml" Id="R7e2a0a0a1c2d4e76" /></Relationships>
</file>

<file path=xl/tables/table1.xml><?xml version="1.0" encoding="utf-8"?>
<x:table xmlns:x="http://schemas.openxmlformats.org/spreadsheetml/2006/main" id="1" name="StandardsAssessment" displayName="StandardsAssessment" ref="A5:Q88" headerRowCount="1" totalsRowCount="0" totalsRowShown="0">
  <x:tableColumns count="17">
    <x:tableColumn id="1" name="ID"/>
    <x:tableColumn id="2" name="Domain"/>
    <x:tableColumn id="3" name="Module"/>
    <x:tableColumn id="4" name="Target Tier"/>
    <x:tableColumn id="5" name="Critical?"/>
    <x:tableColumn id="6" name="Applicable?"/>
    <x:tableColumn id="7" name="Standard"/>
    <x:tableColumn id="8" name="Expected Evidence"/>
    <x:tableColumn id="9" name="Score (0–3)"/>
    <x:tableColumn id="10" name="Evidence / Link"/>
    <x:tableColumn id="11" name="Evidence Present?"/>
    <x:tableColumn id="12" name="Gap to Target"/>
    <x:tableColumn id="13" name="Priority"/>
    <x:tableColumn id="14" name="Owner"/>
    <x:tableColumn id="15" name="Due Date"/>
    <x:tableColumn id="16" name="Improvement Action"/>
    <x:tableColumn id="17" name="Reviewer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rovementPlan" displayName="ImprovementPlan" ref="A5:K88" headerRowCount="1" totalsRowCount="0" totalsRowShown="0">
  <x:tableColumns count="11">
    <x:tableColumn id="1" name="ID"/>
    <x:tableColumn id="2" name="Domain"/>
    <x:tableColumn id="3" name="Priority"/>
    <x:tableColumn id="4" name="Standard"/>
    <x:tableColumn id="5" name="Score"/>
    <x:tableColumn id="6" name="Gap"/>
    <x:tableColumn id="7" name="Evidence?"/>
    <x:tableColumn id="8" name="Owner"/>
    <x:tableColumn id="9" name="Due Date"/>
    <x:tableColumn id="10" name="Action"/>
    <x:tableColumn id="11" name="Include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ef9027e66294a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586c92b04a634f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33" t="str">
        <x:v>Makerspace Standards of Excellence — Self-Assessment Tool</x:v>
      </x:c>
      <x:c r="B1" s="33"/>
      <x:c r="C1" s="33"/>
      <x:c r="D1" s="33"/>
      <x:c r="E1" s="33"/>
      <x:c r="F1" s="33"/>
      <x:c r="G1" s="33"/>
      <x:c r="H1" s="33"/>
    </x:row>
    <x:row r="2" ht="28" customHeight="1">
      <x:c r="A2" s="33"/>
      <x:c r="B2" s="33"/>
      <x:c r="C2" s="33"/>
      <x:c r="D2" s="33"/>
      <x:c r="E2" s="33"/>
      <x:c r="F2" s="33"/>
      <x:c r="G2" s="33"/>
      <x:c r="H2" s="33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>
      <x:c r="A4" s="35" t="str">
        <x:v>Purpose</x:v>
      </x:c>
      <x:c r="B4" s="35"/>
      <x:c r="C4" s="35"/>
      <x:c r="D4" s="35"/>
      <x:c r="E4" s="35"/>
      <x:c r="F4" s="35"/>
      <x:c r="G4" s="35"/>
      <x:c r="H4" s="35"/>
    </x:row>
    <x:row r="5">
      <x:c r="A5" s="36" t="str">
        <x:v>Use this workbook to determine which standards apply to your makerspace, assess current practice, identify missing evidence, and create a prioritized improvement plan. This is a working draft for pilot testing—not a legal, code-compliance, or insurance certification.</x:v>
      </x:c>
      <x:c r="B5" s="36"/>
      <x:c r="C5" s="36"/>
      <x:c r="D5" s="36"/>
      <x:c r="E5" s="36"/>
      <x:c r="F5" s="36"/>
      <x:c r="G5" s="36"/>
      <x:c r="H5" s="36"/>
    </x:row>
    <x:row r="6">
      <x:c r="A6" s="36"/>
      <x:c r="B6" s="36"/>
      <x:c r="C6" s="36"/>
      <x:c r="D6" s="36"/>
      <x:c r="E6" s="36"/>
      <x:c r="F6" s="36"/>
      <x:c r="G6" s="36"/>
      <x:c r="H6" s="36"/>
    </x:row>
    <x:row r="7">
      <x:c r="A7" s="36"/>
      <x:c r="B7" s="36"/>
      <x:c r="C7" s="36"/>
      <x:c r="D7" s="36"/>
      <x:c r="E7" s="36"/>
      <x:c r="F7" s="36"/>
      <x:c r="G7" s="36"/>
      <x:c r="H7" s="36"/>
    </x:row>
    <x:row r="8">
      <x:c r="A8" s="34"/>
      <x:c r="B8" s="34"/>
      <x:c r="C8" s="34"/>
      <x:c r="D8" s="34"/>
      <x:c r="E8" s="34"/>
      <x:c r="F8" s="34"/>
      <x:c r="G8" s="34"/>
      <x:c r="H8" s="34"/>
    </x:row>
    <x:row r="9">
      <x:c r="A9" s="37" t="str">
        <x:v>Step</x:v>
      </x:c>
      <x:c r="B9" s="37" t="str">
        <x:v>What to do</x:v>
      </x:c>
      <x:c r="C9" s="34"/>
      <x:c r="D9" s="37" t="str">
        <x:v>Recognition logic</x:v>
      </x:c>
      <x:c r="E9" s="37"/>
      <x:c r="F9" s="37"/>
      <x:c r="G9" s="37"/>
      <x:c r="H9" s="37"/>
    </x:row>
    <x:row r="10">
      <x:c r="A10" s="38" t="n">
        <x:v>1</x:v>
      </x:c>
      <x:c r="B10" s="39" t="str">
        <x:v>Complete the yellow cells on the Profile sheet.</x:v>
      </x:c>
      <x:c r="C10" s="34"/>
      <x:c r="D10" s="40" t="str">
        <x:v>Foundational: average ≥1.0; all Tier 1 critical standards score at least 1.
Operational: average ≥2.0; all Tier 1–2 critical standards score at least 2; ≥80% of applicable standards have evidence.
Accredited-ready: average ≥2.7; all critical standards score 3; ≥95% have evidence; three years of records confirmed. External peer review would still be required for an actual seal.</x:v>
      </x:c>
      <x:c r="E10" s="40"/>
      <x:c r="F10" s="40"/>
      <x:c r="G10" s="40"/>
      <x:c r="H10" s="40"/>
    </x:row>
    <x:row r="11">
      <x:c r="A11" s="41" t="n">
        <x:v>2</x:v>
      </x:c>
      <x:c r="B11" s="42" t="str">
        <x:v>On Assessment, score each applicable standard from 0–3 and add evidence.</x:v>
      </x:c>
      <x:c r="C11" s="34"/>
      <x:c r="D11" s="40"/>
      <x:c r="E11" s="40"/>
      <x:c r="F11" s="40"/>
      <x:c r="G11" s="40"/>
      <x:c r="H11" s="40"/>
    </x:row>
    <x:row r="12">
      <x:c r="A12" s="41" t="n">
        <x:v>3</x:v>
      </x:c>
      <x:c r="B12" s="42" t="str">
        <x:v>Review the Dashboard for readiness, gaps, and domain scores.</x:v>
      </x:c>
      <x:c r="C12" s="34"/>
      <x:c r="D12" s="40"/>
      <x:c r="E12" s="40"/>
      <x:c r="F12" s="40"/>
      <x:c r="G12" s="40"/>
      <x:c r="H12" s="40"/>
    </x:row>
    <x:row r="13">
      <x:c r="A13" s="41" t="n">
        <x:v>4</x:v>
      </x:c>
      <x:c r="B13" s="42" t="str">
        <x:v>Use Action Plan to filter and manage improvement work.</x:v>
      </x:c>
      <x:c r="C13" s="34"/>
      <x:c r="D13" s="40"/>
      <x:c r="E13" s="40"/>
      <x:c r="F13" s="40"/>
      <x:c r="G13" s="40"/>
      <x:c r="H13" s="40"/>
    </x:row>
    <x:row r="14">
      <x:c r="A14" s="43" t="n">
        <x:v>5</x:v>
      </x:c>
      <x:c r="B14" s="44" t="str">
        <x:v>Repeat at least annually and retain dated evidence.</x:v>
      </x:c>
      <x:c r="C14" s="34"/>
      <x:c r="D14" s="40"/>
      <x:c r="E14" s="40"/>
      <x:c r="F14" s="40"/>
      <x:c r="G14" s="40"/>
      <x:c r="H14" s="40"/>
    </x:row>
    <x:row r="15">
      <x:c r="A15" s="34"/>
      <x:c r="B15" s="34"/>
      <x:c r="C15" s="34"/>
      <x:c r="D15" s="40"/>
      <x:c r="E15" s="40"/>
      <x:c r="F15" s="40"/>
      <x:c r="G15" s="40"/>
      <x:c r="H15" s="40"/>
    </x:row>
    <x:row r="16">
      <x:c r="A16" s="34"/>
      <x:c r="B16" s="34"/>
      <x:c r="C16" s="34"/>
      <x:c r="D16" s="34"/>
      <x:c r="E16" s="34"/>
      <x:c r="F16" s="34"/>
      <x:c r="G16" s="34"/>
      <x:c r="H16" s="34"/>
    </x:row>
    <x:row r="17" ht="42" customHeight="1">
      <x:c r="A17" s="45" t="str">
        <x:v>Important: Local fire, building, occupational safety, employment, youth-protection, environmental, and insurance requirements vary. Verify them with qualified local professionals.</x:v>
      </x:c>
      <x:c r="B17" s="45"/>
      <x:c r="C17" s="45"/>
      <x:c r="D17" s="45"/>
      <x:c r="E17" s="45"/>
      <x:c r="F17" s="45"/>
      <x:c r="G17" s="45"/>
      <x:c r="H17" s="45"/>
    </x:row>
    <x:row r="18">
      <x:c r="A18" s="34"/>
      <x:c r="B18" s="34"/>
      <x:c r="C18" s="34"/>
      <x:c r="D18" s="34"/>
      <x:c r="E18" s="34"/>
      <x:c r="F18" s="34"/>
      <x:c r="G18" s="34"/>
      <x:c r="H18" s="34"/>
    </x:row>
    <x:row r="19">
      <x:c r="A19" s="34"/>
      <x:c r="B19" s="34"/>
      <x:c r="C19" s="34"/>
      <x:c r="D19" s="34"/>
      <x:c r="E19" s="34"/>
      <x:c r="F19" s="34"/>
      <x:c r="G19" s="34"/>
      <x:c r="H19" s="34"/>
    </x:row>
    <x:row r="20">
      <x:c r="A20" s="34"/>
      <x:c r="B20" s="34"/>
      <x:c r="C20" s="34"/>
      <x:c r="D20" s="34"/>
      <x:c r="E20" s="34"/>
      <x:c r="F20" s="34"/>
      <x:c r="G20" s="34"/>
      <x:c r="H20" s="34"/>
    </x:row>
  </x:sheetData>
  <x:mergeCells>
    <x:mergeCell ref="A1:H2"/>
    <x:mergeCell ref="A4:H4"/>
    <x:mergeCell ref="A5:H7"/>
    <x:mergeCell ref="D9:H9"/>
    <x:mergeCell ref="D10:H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38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33" t="str">
        <x:v>1. Diagnostic Operational Profile</x:v>
      </x:c>
      <x:c r="B1" s="33"/>
      <x:c r="C1" s="33"/>
      <x:c r="D1" s="33"/>
      <x:c r="E1" s="33"/>
      <x:c r="F1" s="33"/>
    </x:row>
    <x:row r="2">
      <x:c r="A2" s="33"/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>
      <x:c r="A4" s="37" t="str">
        <x:v>Organization information</x:v>
      </x:c>
      <x:c r="B4" s="37" t="str">
        <x:v>Response</x:v>
      </x:c>
      <x:c r="C4" s="37" t="str">
        <x:v>Notes</x:v>
      </x:c>
      <x:c r="D4" s="34"/>
      <x:c r="E4" s="34"/>
      <x:c r="F4" s="34"/>
    </x:row>
    <x:row r="5">
      <x:c r="A5" s="34" t="str">
        <x:v>Organization name</x:v>
      </x:c>
      <x:c r="B5" s="118" t="str"/>
      <x:c r="C5" s="34" t="str"/>
      <x:c r="D5" s="34"/>
      <x:c r="E5" s="34"/>
      <x:c r="F5" s="34"/>
    </x:row>
    <x:row r="6">
      <x:c r="A6" s="34" t="str">
        <x:v>Assessment date</x:v>
      </x:c>
      <x:c r="B6" s="119" t="str"/>
      <x:c r="C6" s="34" t="str"/>
      <x:c r="D6" s="34"/>
      <x:c r="E6" s="34"/>
      <x:c r="F6" s="34"/>
    </x:row>
    <x:row r="7">
      <x:c r="A7" s="34" t="str">
        <x:v>Assessment lead</x:v>
      </x:c>
      <x:c r="B7" s="119" t="str"/>
      <x:c r="C7" s="34" t="str"/>
      <x:c r="D7" s="34"/>
      <x:c r="E7" s="34"/>
      <x:c r="F7" s="34"/>
    </x:row>
    <x:row r="8">
      <x:c r="A8" s="34" t="str">
        <x:v>State / jurisdiction</x:v>
      </x:c>
      <x:c r="B8" s="119" t="str"/>
      <x:c r="C8" s="34" t="str"/>
      <x:c r="D8" s="34"/>
      <x:c r="E8" s="34"/>
      <x:c r="F8" s="34"/>
    </x:row>
    <x:row r="9">
      <x:c r="A9" s="34" t="str">
        <x:v>Approximate active users</x:v>
      </x:c>
      <x:c r="B9" s="119" t="str"/>
      <x:c r="C9" s="34" t="str"/>
      <x:c r="D9" s="34"/>
      <x:c r="E9" s="34"/>
      <x:c r="F9" s="34"/>
    </x:row>
    <x:row r="10">
      <x:c r="A10" s="34" t="str">
        <x:v>Approximate annual revenue</x:v>
      </x:c>
      <x:c r="B10" s="120" t="str"/>
      <x:c r="C10" s="34" t="str"/>
      <x:c r="D10" s="34"/>
      <x:c r="E10" s="34"/>
      <x:c r="F10" s="34"/>
    </x:row>
    <x:row r="11">
      <x:c r="A11" s="34"/>
      <x:c r="B11" s="34"/>
      <x:c r="C11" s="34"/>
      <x:c r="D11" s="34"/>
      <x:c r="E11" s="34"/>
      <x:c r="F11" s="34"/>
    </x:row>
    <x:row r="12">
      <x:c r="A12" s="34"/>
      <x:c r="B12" s="34"/>
      <x:c r="C12" s="34"/>
      <x:c r="D12" s="34"/>
      <x:c r="E12" s="34"/>
      <x:c r="F12" s="34"/>
    </x:row>
    <x:row r="13">
      <x:c r="A13" s="37" t="str">
        <x:v>Operating features</x:v>
      </x:c>
      <x:c r="B13" s="37" t="str">
        <x:v>Response</x:v>
      </x:c>
      <x:c r="C13" s="37" t="str">
        <x:v>What this activates</x:v>
      </x:c>
      <x:c r="D13" s="34"/>
      <x:c r="E13" s="34"/>
      <x:c r="F13" s="34"/>
    </x:row>
    <x:row r="14">
      <x:c r="A14" s="34" t="str">
        <x:v>Formal membership model?</x:v>
      </x:c>
      <x:c r="B14" s="118" t="str">
        <x:v>Yes</x:v>
      </x:c>
      <x:c r="C14" s="34" t="str">
        <x:v>Member Access track</x:v>
      </x:c>
      <x:c r="D14" s="34"/>
      <x:c r="E14" s="34"/>
      <x:c r="F14" s="34"/>
    </x:row>
    <x:row r="15">
      <x:c r="A15" s="34" t="str">
        <x:v>Public/drop-in access?</x:v>
      </x:c>
      <x:c r="B15" s="119" t="str">
        <x:v>No</x:v>
      </x:c>
      <x:c r="C15" s="34" t="str">
        <x:v>Public Access track</x:v>
      </x:c>
      <x:c r="D15" s="34"/>
      <x:c r="E15" s="34"/>
      <x:c r="F15" s="34"/>
    </x:row>
    <x:row r="16">
      <x:c r="A16" s="34" t="str">
        <x:v>Paid employees?</x:v>
      </x:c>
      <x:c r="B16" s="119" t="str">
        <x:v>Yes</x:v>
      </x:c>
      <x:c r="C16" s="34" t="str">
        <x:v>Paid Staff track</x:v>
      </x:c>
      <x:c r="D16" s="34"/>
      <x:c r="E16" s="34"/>
      <x:c r="F16" s="34"/>
    </x:row>
    <x:row r="17">
      <x:c r="A17" s="34" t="str">
        <x:v>Entirely volunteer operated?</x:v>
      </x:c>
      <x:c r="B17" s="119" t="str">
        <x:v>No</x:v>
      </x:c>
      <x:c r="C17" s="34" t="str">
        <x:v>Volunteer Operations track</x:v>
      </x:c>
      <x:c r="D17" s="34"/>
      <x:c r="E17" s="34"/>
      <x:c r="F17" s="34"/>
    </x:row>
    <x:row r="18">
      <x:c r="A18" s="34" t="str">
        <x:v>Lends tools for off-site use?</x:v>
      </x:c>
      <x:c r="B18" s="119" t="str">
        <x:v>No</x:v>
      </x:c>
      <x:c r="C18" s="34" t="str">
        <x:v>Tool Lending extension</x:v>
      </x:c>
      <x:c r="D18" s="34"/>
      <x:c r="E18" s="34"/>
      <x:c r="F18" s="34"/>
    </x:row>
    <x:row r="19">
      <x:c r="A19" s="34" t="str">
        <x:v>Serves minors under 18?</x:v>
      </x:c>
      <x:c r="B19" s="119" t="str">
        <x:v>No</x:v>
      </x:c>
      <x:c r="C19" s="34" t="str">
        <x:v>Youth extension</x:v>
      </x:c>
      <x:c r="D19" s="34"/>
      <x:c r="E19" s="34"/>
      <x:c r="F19" s="34"/>
    </x:row>
    <x:row r="20">
      <x:c r="A20" s="34" t="str">
        <x:v>Supports business incubation or production?</x:v>
      </x:c>
      <x:c r="B20" s="119" t="str">
        <x:v>No</x:v>
      </x:c>
      <x:c r="C20" s="34" t="str">
        <x:v>Incubation extension</x:v>
      </x:c>
      <x:c r="D20" s="34"/>
      <x:c r="E20" s="34"/>
      <x:c r="F20" s="34"/>
    </x:row>
    <x:row r="21">
      <x:c r="A21" s="34" t="str">
        <x:v>Hosts repair cafés or salvage programs?</x:v>
      </x:c>
      <x:c r="B21" s="119" t="str">
        <x:v>No</x:v>
      </x:c>
      <x:c r="C21" s="34" t="str">
        <x:v>Circular Repair extension</x:v>
      </x:c>
      <x:c r="D21" s="34"/>
      <x:c r="E21" s="34"/>
      <x:c r="F21" s="34"/>
    </x:row>
    <x:row r="22">
      <x:c r="A22" s="34" t="str">
        <x:v>Rents dedicated desks, studios, bays, or storage?</x:v>
      </x:c>
      <x:c r="B22" s="119" t="str">
        <x:v>No</x:v>
      </x:c>
      <x:c r="C22" s="34" t="str">
        <x:v>Workspace Rentals extension</x:v>
      </x:c>
      <x:c r="D22" s="34"/>
      <x:c r="E22" s="34"/>
      <x:c r="F22" s="34"/>
    </x:row>
    <x:row r="23">
      <x:c r="A23" s="34" t="str">
        <x:v>At least 3 years of retained records?</x:v>
      </x:c>
      <x:c r="B23" s="120" t="str">
        <x:v>No</x:v>
      </x:c>
      <x:c r="C23" s="34" t="str">
        <x:v>Accredited-ready requirement</x:v>
      </x:c>
      <x:c r="D23" s="34"/>
      <x:c r="E23" s="34"/>
      <x:c r="F23" s="34"/>
    </x:row>
    <x:row r="24">
      <x:c r="A24" s="34"/>
      <x:c r="B24" s="34"/>
      <x:c r="C24" s="34"/>
      <x:c r="D24" s="34"/>
      <x:c r="E24" s="34"/>
      <x:c r="F24" s="34"/>
    </x:row>
    <x:row r="25">
      <x:c r="A25" s="40" t="str">
        <x:v>Applicability note: Core standards always apply. A conditional module applies when its matching Profile response is Yes. Both Member Access and Public Access may apply to hybrid organizations; Paid Staff and Volunteer Operations may also both apply where volunteers hold operational roles.</x:v>
      </x:c>
      <x:c r="B25" s="40"/>
      <x:c r="C25" s="40"/>
      <x:c r="D25" s="40"/>
      <x:c r="E25" s="40"/>
      <x:c r="F25" s="40"/>
    </x:row>
    <x:row r="26">
      <x:c r="A26" s="40"/>
      <x:c r="B26" s="40"/>
      <x:c r="C26" s="40"/>
      <x:c r="D26" s="40"/>
      <x:c r="E26" s="40"/>
      <x:c r="F26" s="40"/>
    </x:row>
    <x:row r="27">
      <x:c r="A27" s="40"/>
      <x:c r="B27" s="40"/>
      <x:c r="C27" s="40"/>
      <x:c r="D27" s="40"/>
      <x:c r="E27" s="40"/>
      <x:c r="F27" s="40"/>
    </x:row>
  </x:sheetData>
  <x:mergeCells>
    <x:mergeCell ref="A1:F2"/>
    <x:mergeCell ref="A25:F27"/>
  </x:mergeCells>
  <x:dataValidations count="1">
    <x:dataValidation type="list" sqref="B14:B23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20" hidden="0" customWidth="1"/>
    <x:col min="4" max="4" width="11" hidden="0" customWidth="1"/>
    <x:col min="5" max="5" width="10" hidden="0" customWidth="1"/>
    <x:col min="6" max="6" width="11" hidden="0" customWidth="1"/>
    <x:col min="7" max="7" width="58" hidden="0" customWidth="1"/>
    <x:col min="8" max="8" width="42" hidden="0" customWidth="1"/>
    <x:col min="9" max="9" width="12" hidden="0" customWidth="1"/>
    <x:col min="10" max="10" width="30" hidden="0" customWidth="1"/>
    <x:col min="11" max="11" width="14" hidden="0" customWidth="1"/>
    <x:col min="12" max="12" width="12" hidden="0" customWidth="1"/>
    <x:col min="13" max="13" width="12" hidden="0" customWidth="1"/>
    <x:col min="14" max="14" width="18" hidden="0" customWidth="1"/>
    <x:col min="15" max="15" width="13" hidden="0" customWidth="1"/>
    <x:col min="16" max="16" width="34" hidden="0" customWidth="1"/>
    <x:col min="17" max="17" width="28" hidden="0" customWidth="1"/>
  </x:cols>
  <x:sheetData>
    <x:row r="1">
      <x:c r="A1" s="33" t="str">
        <x:v>2. Standards Assessment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</x:row>
    <x:row r="3">
      <x:c r="A3" s="121" t="str">
        <x:v>Yellow columns are inputs. Score 0–3 using the Scoring Guide. Evidence means a specific document, record, URL, or verifiable observation—not a general assertion.</x:v>
      </x:c>
      <x:c r="B3" s="121"/>
      <x:c r="C3" s="121"/>
      <x:c r="D3" s="121"/>
      <x:c r="E3" s="121"/>
      <x:c r="F3" s="121"/>
      <x:c r="G3" s="121"/>
      <x:c r="H3" s="121"/>
      <x:c r="I3" s="121"/>
      <x:c r="J3" s="121"/>
      <x:c r="K3" s="121"/>
      <x:c r="L3" s="121"/>
      <x:c r="M3" s="121"/>
      <x:c r="N3" s="121"/>
      <x:c r="O3" s="121"/>
      <x:c r="P3" s="121"/>
      <x:c r="Q3" s="121"/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</x:row>
    <x:row r="5">
      <x:c r="A5" s="122" t="str">
        <x:v>ID</x:v>
      </x:c>
      <x:c r="B5" s="122" t="str">
        <x:v>Domain</x:v>
      </x:c>
      <x:c r="C5" s="122" t="str">
        <x:v>Module</x:v>
      </x:c>
      <x:c r="D5" s="122" t="str">
        <x:v>Target Tier</x:v>
      </x:c>
      <x:c r="E5" s="122" t="str">
        <x:v>Critical?</x:v>
      </x:c>
      <x:c r="F5" s="122" t="str">
        <x:v>Applicable?</x:v>
      </x:c>
      <x:c r="G5" s="122" t="str">
        <x:v>Standard</x:v>
      </x:c>
      <x:c r="H5" s="122" t="str">
        <x:v>Expected Evidence</x:v>
      </x:c>
      <x:c r="I5" s="122" t="str">
        <x:v>Score (0–3)</x:v>
      </x:c>
      <x:c r="J5" s="122" t="str">
        <x:v>Evidence / Link</x:v>
      </x:c>
      <x:c r="K5" s="122" t="str">
        <x:v>Evidence Present?</x:v>
      </x:c>
      <x:c r="L5" s="122" t="str">
        <x:v>Gap to Target</x:v>
      </x:c>
      <x:c r="M5" s="122" t="str">
        <x:v>Priority</x:v>
      </x:c>
      <x:c r="N5" s="122" t="str">
        <x:v>Owner</x:v>
      </x:c>
      <x:c r="O5" s="122" t="str">
        <x:v>Due Date</x:v>
      </x:c>
      <x:c r="P5" s="122" t="str">
        <x:v>Improvement Action</x:v>
      </x:c>
      <x:c r="Q5" s="122" t="str">
        <x:v>Reviewer Notes</x:v>
      </x:c>
    </x:row>
    <x:row r="6" ht="48" customHeight="1">
      <x:c r="A6" s="123" t="str">
        <x:v>S001</x:v>
      </x:c>
      <x:c r="B6" s="123" t="str">
        <x:v>1 Governance</x:v>
      </x:c>
      <x:c r="C6" s="123" t="str">
        <x:v>Core</x:v>
      </x:c>
      <x:c r="D6" s="123" t="n">
        <x:v>1</x:v>
      </x:c>
      <x:c r="E6" s="123" t="str">
        <x:v>Yes</x:v>
      </x:c>
      <x:c r="F6" s="123" t="str">
        <x:f>"Yes"</x:f>
        <x:v>Yes</x:v>
      </x:c>
      <x:c r="G6" s="124" t="str">
        <x:v>Legal entity, tax-exempt status, registrations, and required filings are current.</x:v>
      </x:c>
      <x:c r="H6" s="124" t="str">
        <x:v>Formation documents; determination letter; filing calendar; latest filings</x:v>
      </x:c>
      <x:c r="I6" s="125"/>
      <x:c r="J6" s="126"/>
      <x:c r="K6" s="124" t="str">
        <x:f>IF(F6="No","N/A",IF(J6&lt;&gt;"","Yes","No"))</x:f>
        <x:v>No</x:v>
      </x:c>
      <x:c r="L6" s="124" t="str">
        <x:f>IF(OR(F6="No",I6=""),"",MAX(0,D6-I6))</x:f>
      </x:c>
      <x:c r="M6" s="124" t="str">
        <x:f>IF(F6="No","N/A",IF(I6="","Unscored",IF(AND(E6="Yes",I6&lt;D6),"Urgent",IF(L6&gt;0,"High",IF(K6="No","Medium","Maintain")))))</x:f>
        <x:v>Unscored</x:v>
      </x:c>
      <x:c r="N6" s="127"/>
      <x:c r="O6" s="128"/>
      <x:c r="P6" s="129"/>
      <x:c r="Q6" s="126"/>
    </x:row>
    <x:row r="7" ht="48" customHeight="1">
      <x:c r="A7" s="123" t="str">
        <x:v>S002</x:v>
      </x:c>
      <x:c r="B7" s="123" t="str">
        <x:v>1 Governance</x:v>
      </x:c>
      <x:c r="C7" s="123" t="str">
        <x:v>Core</x:v>
      </x:c>
      <x:c r="D7" s="123" t="n">
        <x:v>1</x:v>
      </x:c>
      <x:c r="E7" s="123" t="str">
        <x:v>Yes</x:v>
      </x:c>
      <x:c r="F7" s="123" t="str">
        <x:f>"Yes"</x:f>
        <x:v>Yes</x:v>
      </x:c>
      <x:c r="G7" s="124" t="str">
        <x:v>Governing documents define authority, elections, meetings, and dissolution.</x:v>
      </x:c>
      <x:c r="H7" s="124" t="str">
        <x:v>Current bylaws; amendments</x:v>
      </x:c>
      <x:c r="I7" s="130"/>
      <x:c r="J7" s="131"/>
      <x:c r="K7" s="124" t="str">
        <x:f>IF(F7="No","N/A",IF(J7&lt;&gt;"","Yes","No"))</x:f>
        <x:v>No</x:v>
      </x:c>
      <x:c r="L7" s="124" t="str">
        <x:f>IF(OR(F7="No",I7=""),"",MAX(0,D7-I7))</x:f>
      </x:c>
      <x:c r="M7" s="124" t="str">
        <x:f>IF(F7="No","N/A",IF(I7="","Unscored",IF(AND(E7="Yes",I7&lt;D7),"Urgent",IF(L7&gt;0,"High",IF(K7="No","Medium","Maintain")))))</x:f>
        <x:v>Unscored</x:v>
      </x:c>
      <x:c r="N7" s="132"/>
      <x:c r="O7" s="133"/>
      <x:c r="P7" s="134"/>
      <x:c r="Q7" s="131"/>
    </x:row>
    <x:row r="8" ht="48" customHeight="1">
      <x:c r="A8" s="123" t="str">
        <x:v>S003</x:v>
      </x:c>
      <x:c r="B8" s="123" t="str">
        <x:v>1 Governance</x:v>
      </x:c>
      <x:c r="C8" s="123" t="str">
        <x:v>Core</x:v>
      </x:c>
      <x:c r="D8" s="123" t="n">
        <x:v>1</x:v>
      </x:c>
      <x:c r="E8" s="123" t="str">
        <x:v>Yes</x:v>
      </x:c>
      <x:c r="F8" s="123" t="str">
        <x:f>"Yes"</x:f>
        <x:v>Yes</x:v>
      </x:c>
      <x:c r="G8" s="124" t="str">
        <x:v>Board has at least five independent, unrelated voting directors or documents why another structure is appropriate.</x:v>
      </x:c>
      <x:c r="H8" s="124" t="str">
        <x:v>Board roster; independence declarations</x:v>
      </x:c>
      <x:c r="I8" s="130"/>
      <x:c r="J8" s="131"/>
      <x:c r="K8" s="124" t="str">
        <x:f>IF(F8="No","N/A",IF(J8&lt;&gt;"","Yes","No"))</x:f>
        <x:v>No</x:v>
      </x:c>
      <x:c r="L8" s="124" t="str">
        <x:f>IF(OR(F8="No",I8=""),"",MAX(0,D8-I8))</x:f>
      </x:c>
      <x:c r="M8" s="124" t="str">
        <x:f>IF(F8="No","N/A",IF(I8="","Unscored",IF(AND(E8="Yes",I8&lt;D8),"Urgent",IF(L8&gt;0,"High",IF(K8="No","Medium","Maintain")))))</x:f>
        <x:v>Unscored</x:v>
      </x:c>
      <x:c r="N8" s="132"/>
      <x:c r="O8" s="133"/>
      <x:c r="P8" s="134"/>
      <x:c r="Q8" s="131"/>
    </x:row>
    <x:row r="9" ht="48" customHeight="1">
      <x:c r="A9" s="123" t="str">
        <x:v>S004</x:v>
      </x:c>
      <x:c r="B9" s="123" t="str">
        <x:v>1 Governance</x:v>
      </x:c>
      <x:c r="C9" s="123" t="str">
        <x:v>Core</x:v>
      </x:c>
      <x:c r="D9" s="123" t="n">
        <x:v>1</x:v>
      </x:c>
      <x:c r="E9" s="123" t="str">
        <x:v>Yes</x:v>
      </x:c>
      <x:c r="F9" s="123" t="str">
        <x:f>"Yes"</x:f>
        <x:v>Yes</x:v>
      </x:c>
      <x:c r="G9" s="124" t="str">
        <x:v>Board meets regularly and retains approved minutes documenting decisions.</x:v>
      </x:c>
      <x:c r="H9" s="124" t="str">
        <x:v>Meeting calendar; approved minutes</x:v>
      </x:c>
      <x:c r="I9" s="130"/>
      <x:c r="J9" s="131"/>
      <x:c r="K9" s="124" t="str">
        <x:f>IF(F9="No","N/A",IF(J9&lt;&gt;"","Yes","No"))</x:f>
        <x:v>No</x:v>
      </x:c>
      <x:c r="L9" s="124" t="str">
        <x:f>IF(OR(F9="No",I9=""),"",MAX(0,D9-I9))</x:f>
      </x:c>
      <x:c r="M9" s="124" t="str">
        <x:f>IF(F9="No","N/A",IF(I9="","Unscored",IF(AND(E9="Yes",I9&lt;D9),"Urgent",IF(L9&gt;0,"High",IF(K9="No","Medium","Maintain")))))</x:f>
        <x:v>Unscored</x:v>
      </x:c>
      <x:c r="N9" s="132"/>
      <x:c r="O9" s="133"/>
      <x:c r="P9" s="134"/>
      <x:c r="Q9" s="131"/>
    </x:row>
    <x:row r="10" ht="48" customHeight="1">
      <x:c r="A10" s="123" t="str">
        <x:v>S005</x:v>
      </x:c>
      <x:c r="B10" s="123" t="str">
        <x:v>1 Governance</x:v>
      </x:c>
      <x:c r="C10" s="123" t="str">
        <x:v>Core</x:v>
      </x:c>
      <x:c r="D10" s="123" t="n">
        <x:v>2</x:v>
      </x:c>
      <x:c r="E10" s="123" t="str">
        <x:v>Yes</x:v>
      </x:c>
      <x:c r="F10" s="123" t="str">
        <x:f>"Yes"</x:f>
        <x:v>Yes</x:v>
      </x:c>
      <x:c r="G10" s="124" t="str">
        <x:v>Conflict-of-interest policy includes annual disclosure and documented handling of conflicts.</x:v>
      </x:c>
      <x:c r="H10" s="124" t="str">
        <x:v>Policy; signed disclosures; relevant minutes</x:v>
      </x:c>
      <x:c r="I10" s="130"/>
      <x:c r="J10" s="131"/>
      <x:c r="K10" s="124" t="str">
        <x:f>IF(F10="No","N/A",IF(J10&lt;&gt;"","Yes","No"))</x:f>
        <x:v>No</x:v>
      </x:c>
      <x:c r="L10" s="124" t="str">
        <x:f>IF(OR(F10="No",I10=""),"",MAX(0,D10-I10))</x:f>
      </x:c>
      <x:c r="M10" s="124" t="str">
        <x:f>IF(F10="No","N/A",IF(I10="","Unscored",IF(AND(E10="Yes",I10&lt;D10),"Urgent",IF(L10&gt;0,"High",IF(K10="No","Medium","Maintain")))))</x:f>
        <x:v>Unscored</x:v>
      </x:c>
      <x:c r="N10" s="132"/>
      <x:c r="O10" s="133"/>
      <x:c r="P10" s="134"/>
      <x:c r="Q10" s="131"/>
    </x:row>
    <x:row r="11" ht="48" customHeight="1">
      <x:c r="A11" s="123" t="str">
        <x:v>S006</x:v>
      </x:c>
      <x:c r="B11" s="123" t="str">
        <x:v>1 Governance</x:v>
      </x:c>
      <x:c r="C11" s="123" t="str">
        <x:v>Core</x:v>
      </x:c>
      <x:c r="D11" s="123" t="n">
        <x:v>2</x:v>
      </x:c>
      <x:c r="E11" s="123" t="str">
        <x:v>No</x:v>
      </x:c>
      <x:c r="F11" s="123" t="str">
        <x:f>"Yes"</x:f>
        <x:v>Yes</x:v>
      </x:c>
      <x:c r="G11" s="124" t="str">
        <x:v>Whistleblower, records-retention, and ethics policies cover directors, staff, and key volunteers.</x:v>
      </x:c>
      <x:c r="H11" s="124" t="str">
        <x:v>Board-approved policies; training records</x:v>
      </x:c>
      <x:c r="I11" s="130"/>
      <x:c r="J11" s="131"/>
      <x:c r="K11" s="124" t="str">
        <x:f>IF(F11="No","N/A",IF(J11&lt;&gt;"","Yes","No"))</x:f>
        <x:v>No</x:v>
      </x:c>
      <x:c r="L11" s="124" t="str">
        <x:f>IF(OR(F11="No",I11=""),"",MAX(0,D11-I11))</x:f>
      </x:c>
      <x:c r="M11" s="124" t="str">
        <x:f>IF(F11="No","N/A",IF(I11="","Unscored",IF(AND(E11="Yes",I11&lt;D11),"Urgent",IF(L11&gt;0,"High",IF(K11="No","Medium","Maintain")))))</x:f>
        <x:v>Unscored</x:v>
      </x:c>
      <x:c r="N11" s="132"/>
      <x:c r="O11" s="133"/>
      <x:c r="P11" s="134"/>
      <x:c r="Q11" s="131"/>
    </x:row>
    <x:row r="12" ht="48" customHeight="1">
      <x:c r="A12" s="123" t="str">
        <x:v>S007</x:v>
      </x:c>
      <x:c r="B12" s="123" t="str">
        <x:v>1 Governance</x:v>
      </x:c>
      <x:c r="C12" s="123" t="str">
        <x:v>Core</x:v>
      </x:c>
      <x:c r="D12" s="123" t="n">
        <x:v>2</x:v>
      </x:c>
      <x:c r="E12" s="123" t="str">
        <x:v>No</x:v>
      </x:c>
      <x:c r="F12" s="123" t="str">
        <x:f>"Yes"</x:f>
        <x:v>Yes</x:v>
      </x:c>
      <x:c r="G12" s="124" t="str">
        <x:v>Board-approved strategy connects mission, programs, facilities, and major capital purchases.</x:v>
      </x:c>
      <x:c r="H12" s="124" t="str">
        <x:v>Strategic plan; annual goals; board review</x:v>
      </x:c>
      <x:c r="I12" s="130"/>
      <x:c r="J12" s="131"/>
      <x:c r="K12" s="124" t="str">
        <x:f>IF(F12="No","N/A",IF(J12&lt;&gt;"","Yes","No"))</x:f>
        <x:v>No</x:v>
      </x:c>
      <x:c r="L12" s="124" t="str">
        <x:f>IF(OR(F12="No",I12=""),"",MAX(0,D12-I12))</x:f>
      </x:c>
      <x:c r="M12" s="124" t="str">
        <x:f>IF(F12="No","N/A",IF(I12="","Unscored",IF(AND(E12="Yes",I12&lt;D12),"Urgent",IF(L12&gt;0,"High",IF(K12="No","Medium","Maintain")))))</x:f>
        <x:v>Unscored</x:v>
      </x:c>
      <x:c r="N12" s="132"/>
      <x:c r="O12" s="133"/>
      <x:c r="P12" s="134"/>
      <x:c r="Q12" s="131"/>
    </x:row>
    <x:row r="13" ht="48" customHeight="1">
      <x:c r="A13" s="123" t="str">
        <x:v>S008</x:v>
      </x:c>
      <x:c r="B13" s="123" t="str">
        <x:v>1 Governance</x:v>
      </x:c>
      <x:c r="C13" s="123" t="str">
        <x:v>Core</x:v>
      </x:c>
      <x:c r="D13" s="123" t="n">
        <x:v>2</x:v>
      </x:c>
      <x:c r="E13" s="123" t="str">
        <x:v>No</x:v>
      </x:c>
      <x:c r="F13" s="123" t="str">
        <x:f>"Yes"</x:f>
        <x:v>Yes</x:v>
      </x:c>
      <x:c r="G13" s="124" t="str">
        <x:v>Users retain intellectual property they create except where a written agreement clearly states otherwise.</x:v>
      </x:c>
      <x:c r="H13" s="124" t="str">
        <x:v>IP policy; sponsored-project agreement template</x:v>
      </x:c>
      <x:c r="I13" s="130"/>
      <x:c r="J13" s="131"/>
      <x:c r="K13" s="124" t="str">
        <x:f>IF(F13="No","N/A",IF(J13&lt;&gt;"","Yes","No"))</x:f>
        <x:v>No</x:v>
      </x:c>
      <x:c r="L13" s="124" t="str">
        <x:f>IF(OR(F13="No",I13=""),"",MAX(0,D13-I13))</x:f>
      </x:c>
      <x:c r="M13" s="124" t="str">
        <x:f>IF(F13="No","N/A",IF(I13="","Unscored",IF(AND(E13="Yes",I13&lt;D13),"Urgent",IF(L13&gt;0,"High",IF(K13="No","Medium","Maintain")))))</x:f>
        <x:v>Unscored</x:v>
      </x:c>
      <x:c r="N13" s="132"/>
      <x:c r="O13" s="133"/>
      <x:c r="P13" s="134"/>
      <x:c r="Q13" s="131"/>
    </x:row>
    <x:row r="14" ht="48" customHeight="1">
      <x:c r="A14" s="123" t="str">
        <x:v>S009</x:v>
      </x:c>
      <x:c r="B14" s="123" t="str">
        <x:v>1 Governance</x:v>
      </x:c>
      <x:c r="C14" s="123" t="str">
        <x:v>Core</x:v>
      </x:c>
      <x:c r="D14" s="123" t="n">
        <x:v>3</x:v>
      </x:c>
      <x:c r="E14" s="123" t="str">
        <x:v>Yes</x:v>
      </x:c>
      <x:c r="F14" s="123" t="str">
        <x:f>"Yes"</x:f>
        <x:v>Yes</x:v>
      </x:c>
      <x:c r="G14" s="124" t="str">
        <x:v>Leadership succession and emergency authority are documented and tested.</x:v>
      </x:c>
      <x:c r="H14" s="124" t="str">
        <x:v>Succession plan; delegation matrix; test record</x:v>
      </x:c>
      <x:c r="I14" s="130"/>
      <x:c r="J14" s="131"/>
      <x:c r="K14" s="124" t="str">
        <x:f>IF(F14="No","N/A",IF(J14&lt;&gt;"","Yes","No"))</x:f>
        <x:v>No</x:v>
      </x:c>
      <x:c r="L14" s="124" t="str">
        <x:f>IF(OR(F14="No",I14=""),"",MAX(0,D14-I14))</x:f>
      </x:c>
      <x:c r="M14" s="124" t="str">
        <x:f>IF(F14="No","N/A",IF(I14="","Unscored",IF(AND(E14="Yes",I14&lt;D14),"Urgent",IF(L14&gt;0,"High",IF(K14="No","Medium","Maintain")))))</x:f>
        <x:v>Unscored</x:v>
      </x:c>
      <x:c r="N14" s="132"/>
      <x:c r="O14" s="133"/>
      <x:c r="P14" s="134"/>
      <x:c r="Q14" s="131"/>
    </x:row>
    <x:row r="15" ht="48" customHeight="1">
      <x:c r="A15" s="123" t="str">
        <x:v>S010</x:v>
      </x:c>
      <x:c r="B15" s="123" t="str">
        <x:v>1 Governance</x:v>
      </x:c>
      <x:c r="C15" s="123" t="str">
        <x:v>Core</x:v>
      </x:c>
      <x:c r="D15" s="123" t="n">
        <x:v>3</x:v>
      </x:c>
      <x:c r="E15" s="123" t="str">
        <x:v>No</x:v>
      </x:c>
      <x:c r="F15" s="123" t="str">
        <x:f>"Yes"</x:f>
        <x:v>Yes</x:v>
      </x:c>
      <x:c r="G15" s="124" t="str">
        <x:v>Board completes a documented annual self-evaluation and reviews organizational risk.</x:v>
      </x:c>
      <x:c r="H15" s="124" t="str">
        <x:v>Three annual evaluations; risk register reviews</x:v>
      </x:c>
      <x:c r="I15" s="130"/>
      <x:c r="J15" s="131"/>
      <x:c r="K15" s="124" t="str">
        <x:f>IF(F15="No","N/A",IF(J15&lt;&gt;"","Yes","No"))</x:f>
        <x:v>No</x:v>
      </x:c>
      <x:c r="L15" s="124" t="str">
        <x:f>IF(OR(F15="No",I15=""),"",MAX(0,D15-I15))</x:f>
      </x:c>
      <x:c r="M15" s="124" t="str">
        <x:f>IF(F15="No","N/A",IF(I15="","Unscored",IF(AND(E15="Yes",I15&lt;D15),"Urgent",IF(L15&gt;0,"High",IF(K15="No","Medium","Maintain")))))</x:f>
        <x:v>Unscored</x:v>
      </x:c>
      <x:c r="N15" s="132"/>
      <x:c r="O15" s="133"/>
      <x:c r="P15" s="134"/>
      <x:c r="Q15" s="131"/>
    </x:row>
    <x:row r="16" ht="48" customHeight="1">
      <x:c r="A16" s="123" t="str">
        <x:v>S011</x:v>
      </x:c>
      <x:c r="B16" s="123" t="str">
        <x:v>2 Safety &amp; Risk</x:v>
      </x:c>
      <x:c r="C16" s="123" t="str">
        <x:v>Core</x:v>
      </x:c>
      <x:c r="D16" s="123" t="n">
        <x:v>1</x:v>
      </x:c>
      <x:c r="E16" s="123" t="str">
        <x:v>Yes</x:v>
      </x:c>
      <x:c r="F16" s="123" t="str">
        <x:f>"Yes"</x:f>
        <x:v>Yes</x:v>
      </x:c>
      <x:c r="G16" s="124" t="str">
        <x:v>Written general safety rules, emergency procedures, and emergency contacts are visible and current.</x:v>
      </x:c>
      <x:c r="H16" s="124" t="str">
        <x:v>Safety manual; posted procedures; review date</x:v>
      </x:c>
      <x:c r="I16" s="130"/>
      <x:c r="J16" s="131"/>
      <x:c r="K16" s="124" t="str">
        <x:f>IF(F16="No","N/A",IF(J16&lt;&gt;"","Yes","No"))</x:f>
        <x:v>No</x:v>
      </x:c>
      <x:c r="L16" s="124" t="str">
        <x:f>IF(OR(F16="No",I16=""),"",MAX(0,D16-I16))</x:f>
      </x:c>
      <x:c r="M16" s="124" t="str">
        <x:f>IF(F16="No","N/A",IF(I16="","Unscored",IF(AND(E16="Yes",I16&lt;D16),"Urgent",IF(L16&gt;0,"High",IF(K16="No","Medium","Maintain")))))</x:f>
        <x:v>Unscored</x:v>
      </x:c>
      <x:c r="N16" s="132"/>
      <x:c r="O16" s="133"/>
      <x:c r="P16" s="134"/>
      <x:c r="Q16" s="131"/>
    </x:row>
    <x:row r="17" ht="48" customHeight="1">
      <x:c r="A17" s="123" t="str">
        <x:v>S012</x:v>
      </x:c>
      <x:c r="B17" s="123" t="str">
        <x:v>2 Safety &amp; Risk</x:v>
      </x:c>
      <x:c r="C17" s="123" t="str">
        <x:v>Core</x:v>
      </x:c>
      <x:c r="D17" s="123" t="n">
        <x:v>1</x:v>
      </x:c>
      <x:c r="E17" s="123" t="str">
        <x:v>Yes</x:v>
      </x:c>
      <x:c r="F17" s="123" t="str">
        <x:f>"Yes"</x:f>
        <x:v>Yes</x:v>
      </x:c>
      <x:c r="G17" s="124" t="str">
        <x:v>Required fire protection, first-aid supplies, eyewash, exits, and emergency shutoffs are accessible and inspected.</x:v>
      </x:c>
      <x:c r="H17" s="124" t="str">
        <x:v>Inspection checklist; service tags; photos</x:v>
      </x:c>
      <x:c r="I17" s="130"/>
      <x:c r="J17" s="131"/>
      <x:c r="K17" s="124" t="str">
        <x:f>IF(F17="No","N/A",IF(J17&lt;&gt;"","Yes","No"))</x:f>
        <x:v>No</x:v>
      </x:c>
      <x:c r="L17" s="124" t="str">
        <x:f>IF(OR(F17="No",I17=""),"",MAX(0,D17-I17))</x:f>
      </x:c>
      <x:c r="M17" s="124" t="str">
        <x:f>IF(F17="No","N/A",IF(I17="","Unscored",IF(AND(E17="Yes",I17&lt;D17),"Urgent",IF(L17&gt;0,"High",IF(K17="No","Medium","Maintain")))))</x:f>
        <x:v>Unscored</x:v>
      </x:c>
      <x:c r="N17" s="132"/>
      <x:c r="O17" s="133"/>
      <x:c r="P17" s="134"/>
      <x:c r="Q17" s="131"/>
    </x:row>
    <x:row r="18" ht="48" customHeight="1">
      <x:c r="A18" s="123" t="str">
        <x:v>S013</x:v>
      </x:c>
      <x:c r="B18" s="123" t="str">
        <x:v>2 Safety &amp; Risk</x:v>
      </x:c>
      <x:c r="C18" s="123" t="str">
        <x:v>Core</x:v>
      </x:c>
      <x:c r="D18" s="123" t="n">
        <x:v>1</x:v>
      </x:c>
      <x:c r="E18" s="123" t="str">
        <x:v>Yes</x:v>
      </x:c>
      <x:c r="F18" s="123" t="str">
        <x:f>"Yes"</x:f>
        <x:v>Yes</x:v>
      </x:c>
      <x:c r="G18" s="124" t="str">
        <x:v>Hazardous chemicals are labeled, stored compatibly, and supported by accessible SDS information.</x:v>
      </x:c>
      <x:c r="H18" s="124" t="str">
        <x:v>Chemical inventory; SDS access; storage inspection</x:v>
      </x:c>
      <x:c r="I18" s="130"/>
      <x:c r="J18" s="131"/>
      <x:c r="K18" s="124" t="str">
        <x:f>IF(F18="No","N/A",IF(J18&lt;&gt;"","Yes","No"))</x:f>
        <x:v>No</x:v>
      </x:c>
      <x:c r="L18" s="124" t="str">
        <x:f>IF(OR(F18="No",I18=""),"",MAX(0,D18-I18))</x:f>
      </x:c>
      <x:c r="M18" s="124" t="str">
        <x:f>IF(F18="No","N/A",IF(I18="","Unscored",IF(AND(E18="Yes",I18&lt;D18),"Urgent",IF(L18&gt;0,"High",IF(K18="No","Medium","Maintain")))))</x:f>
        <x:v>Unscored</x:v>
      </x:c>
      <x:c r="N18" s="132"/>
      <x:c r="O18" s="133"/>
      <x:c r="P18" s="134"/>
      <x:c r="Q18" s="131"/>
    </x:row>
    <x:row r="19" ht="48" customHeight="1">
      <x:c r="A19" s="123" t="str">
        <x:v>S014</x:v>
      </x:c>
      <x:c r="B19" s="123" t="str">
        <x:v>2 Safety &amp; Risk</x:v>
      </x:c>
      <x:c r="C19" s="123" t="str">
        <x:v>Core</x:v>
      </x:c>
      <x:c r="D19" s="123" t="n">
        <x:v>1</x:v>
      </x:c>
      <x:c r="E19" s="123" t="str">
        <x:v>Yes</x:v>
      </x:c>
      <x:c r="F19" s="123" t="str">
        <x:f>"Yes"</x:f>
        <x:v>Yes</x:v>
      </x:c>
      <x:c r="G19" s="124" t="str">
        <x:v>Tools have point-of-use rules and required guarding, dust collection, ventilation, and PPE.</x:v>
      </x:c>
      <x:c r="H19" s="124" t="str">
        <x:v>Tool SOPs; inspection records; photos</x:v>
      </x:c>
      <x:c r="I19" s="130"/>
      <x:c r="J19" s="131"/>
      <x:c r="K19" s="124" t="str">
        <x:f>IF(F19="No","N/A",IF(J19&lt;&gt;"","Yes","No"))</x:f>
        <x:v>No</x:v>
      </x:c>
      <x:c r="L19" s="124" t="str">
        <x:f>IF(OR(F19="No",I19=""),"",MAX(0,D19-I19))</x:f>
      </x:c>
      <x:c r="M19" s="124" t="str">
        <x:f>IF(F19="No","N/A",IF(I19="","Unscored",IF(AND(E19="Yes",I19&lt;D19),"Urgent",IF(L19&gt;0,"High",IF(K19="No","Medium","Maintain")))))</x:f>
        <x:v>Unscored</x:v>
      </x:c>
      <x:c r="N19" s="132"/>
      <x:c r="O19" s="133"/>
      <x:c r="P19" s="134"/>
      <x:c r="Q19" s="131"/>
    </x:row>
    <x:row r="20" ht="48" customHeight="1">
      <x:c r="A20" s="123" t="str">
        <x:v>S015</x:v>
      </x:c>
      <x:c r="B20" s="123" t="str">
        <x:v>2 Safety &amp; Risk</x:v>
      </x:c>
      <x:c r="C20" s="123" t="str">
        <x:v>Core</x:v>
      </x:c>
      <x:c r="D20" s="123" t="n">
        <x:v>2</x:v>
      </x:c>
      <x:c r="E20" s="123" t="str">
        <x:v>Yes</x:v>
      </x:c>
      <x:c r="F20" s="123" t="str">
        <x:f>"Yes"</x:f>
        <x:v>Yes</x:v>
      </x:c>
      <x:c r="G20" s="124" t="str">
        <x:v>Tools are assigned risk levels that determine training, supervision, and access-control requirements.</x:v>
      </x:c>
      <x:c r="H20" s="124" t="str">
        <x:v>Hazard matrix; approved access rules</x:v>
      </x:c>
      <x:c r="I20" s="130"/>
      <x:c r="J20" s="131"/>
      <x:c r="K20" s="124" t="str">
        <x:f>IF(F20="No","N/A",IF(J20&lt;&gt;"","Yes","No"))</x:f>
        <x:v>No</x:v>
      </x:c>
      <x:c r="L20" s="124" t="str">
        <x:f>IF(OR(F20="No",I20=""),"",MAX(0,D20-I20))</x:f>
      </x:c>
      <x:c r="M20" s="124" t="str">
        <x:f>IF(F20="No","N/A",IF(I20="","Unscored",IF(AND(E20="Yes",I20&lt;D20),"Urgent",IF(L20&gt;0,"High",IF(K20="No","Medium","Maintain")))))</x:f>
        <x:v>Unscored</x:v>
      </x:c>
      <x:c r="N20" s="132"/>
      <x:c r="O20" s="133"/>
      <x:c r="P20" s="134"/>
      <x:c r="Q20" s="131"/>
    </x:row>
    <x:row r="21" ht="48" customHeight="1">
      <x:c r="A21" s="123" t="str">
        <x:v>S016</x:v>
      </x:c>
      <x:c r="B21" s="123" t="str">
        <x:v>2 Safety &amp; Risk</x:v>
      </x:c>
      <x:c r="C21" s="123" t="str">
        <x:v>Core</x:v>
      </x:c>
      <x:c r="D21" s="123" t="n">
        <x:v>2</x:v>
      </x:c>
      <x:c r="E21" s="123" t="str">
        <x:v>Yes</x:v>
      </x:c>
      <x:c r="F21" s="123" t="str">
        <x:f>"Yes"</x:f>
        <x:v>Yes</x:v>
      </x:c>
      <x:c r="G21" s="124" t="str">
        <x:v>Injuries, near misses, unsafe conditions, and equipment damage are promptly reported and reviewed.</x:v>
      </x:c>
      <x:c r="H21" s="124" t="str">
        <x:v>Incident form; log; corrective-action records</x:v>
      </x:c>
      <x:c r="I21" s="130"/>
      <x:c r="J21" s="131"/>
      <x:c r="K21" s="124" t="str">
        <x:f>IF(F21="No","N/A",IF(J21&lt;&gt;"","Yes","No"))</x:f>
        <x:v>No</x:v>
      </x:c>
      <x:c r="L21" s="124" t="str">
        <x:f>IF(OR(F21="No",I21=""),"",MAX(0,D21-I21))</x:f>
      </x:c>
      <x:c r="M21" s="124" t="str">
        <x:f>IF(F21="No","N/A",IF(I21="","Unscored",IF(AND(E21="Yes",I21&lt;D21),"Urgent",IF(L21&gt;0,"High",IF(K21="No","Medium","Maintain")))))</x:f>
        <x:v>Unscored</x:v>
      </x:c>
      <x:c r="N21" s="132"/>
      <x:c r="O21" s="133"/>
      <x:c r="P21" s="134"/>
      <x:c r="Q21" s="131"/>
    </x:row>
    <x:row r="22" ht="48" customHeight="1">
      <x:c r="A22" s="123" t="str">
        <x:v>S017</x:v>
      </x:c>
      <x:c r="B22" s="123" t="str">
        <x:v>2 Safety &amp; Risk</x:v>
      </x:c>
      <x:c r="C22" s="123" t="str">
        <x:v>Core</x:v>
      </x:c>
      <x:c r="D22" s="123" t="n">
        <x:v>2</x:v>
      </x:c>
      <x:c r="E22" s="123" t="str">
        <x:v>No</x:v>
      </x:c>
      <x:c r="F22" s="123" t="str">
        <x:f>"Yes"</x:f>
        <x:v>Yes</x:v>
      </x:c>
      <x:c r="G22" s="124" t="str">
        <x:v>Opening, closing, lone-work, impairment, and after-hours emergency protocols are documented.</x:v>
      </x:c>
      <x:c r="H22" s="124" t="str">
        <x:v>Operating policies; orientation materials</x:v>
      </x:c>
      <x:c r="I22" s="130"/>
      <x:c r="J22" s="131"/>
      <x:c r="K22" s="124" t="str">
        <x:f>IF(F22="No","N/A",IF(J22&lt;&gt;"","Yes","No"))</x:f>
        <x:v>No</x:v>
      </x:c>
      <x:c r="L22" s="124" t="str">
        <x:f>IF(OR(F22="No",I22=""),"",MAX(0,D22-I22))</x:f>
      </x:c>
      <x:c r="M22" s="124" t="str">
        <x:f>IF(F22="No","N/A",IF(I22="","Unscored",IF(AND(E22="Yes",I22&lt;D22),"Urgent",IF(L22&gt;0,"High",IF(K22="No","Medium","Maintain")))))</x:f>
        <x:v>Unscored</x:v>
      </x:c>
      <x:c r="N22" s="132"/>
      <x:c r="O22" s="133"/>
      <x:c r="P22" s="134"/>
      <x:c r="Q22" s="131"/>
    </x:row>
    <x:row r="23" ht="48" customHeight="1">
      <x:c r="A23" s="123" t="str">
        <x:v>S018</x:v>
      </x:c>
      <x:c r="B23" s="123" t="str">
        <x:v>2 Safety &amp; Risk</x:v>
      </x:c>
      <x:c r="C23" s="123" t="str">
        <x:v>Core</x:v>
      </x:c>
      <x:c r="D23" s="123" t="n">
        <x:v>2</x:v>
      </x:c>
      <x:c r="E23" s="123" t="str">
        <x:v>Yes</x:v>
      </x:c>
      <x:c r="F23" s="123" t="str">
        <x:f>"Yes"</x:f>
        <x:v>Yes</x:v>
      </x:c>
      <x:c r="G23" s="124" t="str">
        <x:v>Insurance coverages and limits are reviewed annually against actual operations.</x:v>
      </x:c>
      <x:c r="H23" s="124" t="str">
        <x:v>Policies; broker review; board minutes</x:v>
      </x:c>
      <x:c r="I23" s="130"/>
      <x:c r="J23" s="131"/>
      <x:c r="K23" s="124" t="str">
        <x:f>IF(F23="No","N/A",IF(J23&lt;&gt;"","Yes","No"))</x:f>
        <x:v>No</x:v>
      </x:c>
      <x:c r="L23" s="124" t="str">
        <x:f>IF(OR(F23="No",I23=""),"",MAX(0,D23-I23))</x:f>
      </x:c>
      <x:c r="M23" s="124" t="str">
        <x:f>IF(F23="No","N/A",IF(I23="","Unscored",IF(AND(E23="Yes",I23&lt;D23),"Urgent",IF(L23&gt;0,"High",IF(K23="No","Medium","Maintain")))))</x:f>
        <x:v>Unscored</x:v>
      </x:c>
      <x:c r="N23" s="132"/>
      <x:c r="O23" s="133"/>
      <x:c r="P23" s="134"/>
      <x:c r="Q23" s="131"/>
    </x:row>
    <x:row r="24" ht="48" customHeight="1">
      <x:c r="A24" s="123" t="str">
        <x:v>S019</x:v>
      </x:c>
      <x:c r="B24" s="123" t="str">
        <x:v>2 Safety &amp; Risk</x:v>
      </x:c>
      <x:c r="C24" s="123" t="str">
        <x:v>Core</x:v>
      </x:c>
      <x:c r="D24" s="123" t="n">
        <x:v>3</x:v>
      </x:c>
      <x:c r="E24" s="123" t="str">
        <x:v>Yes</x:v>
      </x:c>
      <x:c r="F24" s="123" t="str">
        <x:f>"Yes"</x:f>
        <x:v>Yes</x:v>
      </x:c>
      <x:c r="G24" s="124" t="str">
        <x:v>A qualified annual safety audit tracks findings through closure and analyzes incident trends.</x:v>
      </x:c>
      <x:c r="H24" s="124" t="str">
        <x:v>Three annual audits; closure log; trend review</x:v>
      </x:c>
      <x:c r="I24" s="130"/>
      <x:c r="J24" s="131"/>
      <x:c r="K24" s="124" t="str">
        <x:f>IF(F24="No","N/A",IF(J24&lt;&gt;"","Yes","No"))</x:f>
        <x:v>No</x:v>
      </x:c>
      <x:c r="L24" s="124" t="str">
        <x:f>IF(OR(F24="No",I24=""),"",MAX(0,D24-I24))</x:f>
      </x:c>
      <x:c r="M24" s="124" t="str">
        <x:f>IF(F24="No","N/A",IF(I24="","Unscored",IF(AND(E24="Yes",I24&lt;D24),"Urgent",IF(L24&gt;0,"High",IF(K24="No","Medium","Maintain")))))</x:f>
        <x:v>Unscored</x:v>
      </x:c>
      <x:c r="N24" s="132"/>
      <x:c r="O24" s="133"/>
      <x:c r="P24" s="134"/>
      <x:c r="Q24" s="131"/>
    </x:row>
    <x:row r="25" ht="48" customHeight="1">
      <x:c r="A25" s="123" t="str">
        <x:v>S020</x:v>
      </x:c>
      <x:c r="B25" s="123" t="str">
        <x:v>2 Safety &amp; Risk</x:v>
      </x:c>
      <x:c r="C25" s="123" t="str">
        <x:v>Core</x:v>
      </x:c>
      <x:c r="D25" s="123" t="n">
        <x:v>3</x:v>
      </x:c>
      <x:c r="E25" s="123" t="str">
        <x:v>No</x:v>
      </x:c>
      <x:c r="F25" s="123" t="str">
        <x:f>"Yes"</x:f>
        <x:v>Yes</x:v>
      </x:c>
      <x:c r="G25" s="124" t="str">
        <x:v>Waste, emissions, used materials, and hazardous disposal are managed under documented environmental procedures.</x:v>
      </x:c>
      <x:c r="H25" s="124" t="str">
        <x:v>Waste plan; vendor records; training logs</x:v>
      </x:c>
      <x:c r="I25" s="130"/>
      <x:c r="J25" s="131"/>
      <x:c r="K25" s="124" t="str">
        <x:f>IF(F25="No","N/A",IF(J25&lt;&gt;"","Yes","No"))</x:f>
        <x:v>No</x:v>
      </x:c>
      <x:c r="L25" s="124" t="str">
        <x:f>IF(OR(F25="No",I25=""),"",MAX(0,D25-I25))</x:f>
      </x:c>
      <x:c r="M25" s="124" t="str">
        <x:f>IF(F25="No","N/A",IF(I25="","Unscored",IF(AND(E25="Yes",I25&lt;D25),"Urgent",IF(L25&gt;0,"High",IF(K25="No","Medium","Maintain")))))</x:f>
        <x:v>Unscored</x:v>
      </x:c>
      <x:c r="N25" s="132"/>
      <x:c r="O25" s="133"/>
      <x:c r="P25" s="134"/>
      <x:c r="Q25" s="131"/>
    </x:row>
    <x:row r="26" ht="48" customHeight="1">
      <x:c r="A26" s="123" t="str">
        <x:v>S021</x:v>
      </x:c>
      <x:c r="B26" s="123" t="str">
        <x:v>3 User Access</x:v>
      </x:c>
      <x:c r="C26" s="123" t="str">
        <x:v>Member Access</x:v>
      </x:c>
      <x:c r="D26" s="123" t="n">
        <x:v>1</x:v>
      </x:c>
      <x:c r="E26" s="123" t="str">
        <x:v>Yes</x:v>
      </x:c>
      <x:c r="F26" s="123" t="str">
        <x:f>IF('Profile'!$B$14="Yes","Yes","No")</x:f>
        <x:v>Yes</x:v>
      </x:c>
      <x:c r="G26" s="124" t="str">
        <x:v>Every member completes orientation, accepts conduct rules, and signs required agreements before access.</x:v>
      </x:c>
      <x:c r="H26" s="124" t="str">
        <x:v>Orientation checklist; agreements; access record</x:v>
      </x:c>
      <x:c r="I26" s="130"/>
      <x:c r="J26" s="131"/>
      <x:c r="K26" s="124" t="str">
        <x:f>IF(F26="No","N/A",IF(J26&lt;&gt;"","Yes","No"))</x:f>
        <x:v>No</x:v>
      </x:c>
      <x:c r="L26" s="124" t="str">
        <x:f>IF(OR(F26="No",I26=""),"",MAX(0,D26-I26))</x:f>
      </x:c>
      <x:c r="M26" s="124" t="str">
        <x:f>IF(F26="No","N/A",IF(I26="","Unscored",IF(AND(E26="Yes",I26&lt;D26),"Urgent",IF(L26&gt;0,"High",IF(K26="No","Medium","Maintain")))))</x:f>
        <x:v>Unscored</x:v>
      </x:c>
      <x:c r="N26" s="132"/>
      <x:c r="O26" s="133"/>
      <x:c r="P26" s="134"/>
      <x:c r="Q26" s="131"/>
    </x:row>
    <x:row r="27" ht="48" customHeight="1">
      <x:c r="A27" s="123" t="str">
        <x:v>S022</x:v>
      </x:c>
      <x:c r="B27" s="123" t="str">
        <x:v>3 User Access</x:v>
      </x:c>
      <x:c r="C27" s="123" t="str">
        <x:v>Member Access</x:v>
      </x:c>
      <x:c r="D27" s="123" t="n">
        <x:v>1</x:v>
      </x:c>
      <x:c r="E27" s="123" t="str">
        <x:v>Yes</x:v>
      </x:c>
      <x:c r="F27" s="123" t="str">
        <x:f>IF('Profile'!$B$14="Yes","Yes","No")</x:f>
        <x:v>Yes</x:v>
      </x:c>
      <x:c r="G27" s="124" t="str">
        <x:v>Restricted tools require verified practical training before independent use.</x:v>
      </x:c>
      <x:c r="H27" s="124" t="str">
        <x:v>Badge requirements; training records</x:v>
      </x:c>
      <x:c r="I27" s="130"/>
      <x:c r="J27" s="131"/>
      <x:c r="K27" s="124" t="str">
        <x:f>IF(F27="No","N/A",IF(J27&lt;&gt;"","Yes","No"))</x:f>
        <x:v>No</x:v>
      </x:c>
      <x:c r="L27" s="124" t="str">
        <x:f>IF(OR(F27="No",I27=""),"",MAX(0,D27-I27))</x:f>
      </x:c>
      <x:c r="M27" s="124" t="str">
        <x:f>IF(F27="No","N/A",IF(I27="","Unscored",IF(AND(E27="Yes",I27&lt;D27),"Urgent",IF(L27&gt;0,"High",IF(K27="No","Medium","Maintain")))))</x:f>
        <x:v>Unscored</x:v>
      </x:c>
      <x:c r="N27" s="132"/>
      <x:c r="O27" s="133"/>
      <x:c r="P27" s="134"/>
      <x:c r="Q27" s="131"/>
    </x:row>
    <x:row r="28" ht="48" customHeight="1">
      <x:c r="A28" s="123" t="str">
        <x:v>S023</x:v>
      </x:c>
      <x:c r="B28" s="123" t="str">
        <x:v>3 User Access</x:v>
      </x:c>
      <x:c r="C28" s="123" t="str">
        <x:v>Member Access</x:v>
      </x:c>
      <x:c r="D28" s="123" t="n">
        <x:v>2</x:v>
      </x:c>
      <x:c r="E28" s="123" t="str">
        <x:v>Yes</x:v>
      </x:c>
      <x:c r="F28" s="123" t="str">
        <x:f>IF('Profile'!$B$14="Yes","Yes","No")</x:f>
        <x:v>Yes</x:v>
      </x:c>
      <x:c r="G28" s="124" t="str">
        <x:v>Digital or auditable credentials control tool and facility access and can be suspended promptly.</x:v>
      </x:c>
      <x:c r="H28" s="124" t="str">
        <x:v>Badge database; access-control test; suspension procedure</x:v>
      </x:c>
      <x:c r="I28" s="130"/>
      <x:c r="J28" s="131"/>
      <x:c r="K28" s="124" t="str">
        <x:f>IF(F28="No","N/A",IF(J28&lt;&gt;"","Yes","No"))</x:f>
        <x:v>No</x:v>
      </x:c>
      <x:c r="L28" s="124" t="str">
        <x:f>IF(OR(F28="No",I28=""),"",MAX(0,D28-I28))</x:f>
      </x:c>
      <x:c r="M28" s="124" t="str">
        <x:f>IF(F28="No","N/A",IF(I28="","Unscored",IF(AND(E28="Yes",I28&lt;D28),"Urgent",IF(L28&gt;0,"High",IF(K28="No","Medium","Maintain")))))</x:f>
        <x:v>Unscored</x:v>
      </x:c>
      <x:c r="N28" s="132"/>
      <x:c r="O28" s="133"/>
      <x:c r="P28" s="134"/>
      <x:c r="Q28" s="131"/>
    </x:row>
    <x:row r="29" ht="48" customHeight="1">
      <x:c r="A29" s="123" t="str">
        <x:v>S024</x:v>
      </x:c>
      <x:c r="B29" s="123" t="str">
        <x:v>3 User Access</x:v>
      </x:c>
      <x:c r="C29" s="123" t="str">
        <x:v>Member Access</x:v>
      </x:c>
      <x:c r="D29" s="123" t="n">
        <x:v>2</x:v>
      </x:c>
      <x:c r="E29" s="123" t="str">
        <x:v>No</x:v>
      </x:c>
      <x:c r="F29" s="123" t="str">
        <x:f>IF('Profile'!$B$14="Yes","Yes","No")</x:f>
        <x:v>Yes</x:v>
      </x:c>
      <x:c r="G29" s="124" t="str">
        <x:v>Dues, holds, guests, refunds, accessibility accommodations, and termination rules are transparent.</x:v>
      </x:c>
      <x:c r="H29" s="124" t="str">
        <x:v>Published membership policies</x:v>
      </x:c>
      <x:c r="I29" s="130"/>
      <x:c r="J29" s="131"/>
      <x:c r="K29" s="124" t="str">
        <x:f>IF(F29="No","N/A",IF(J29&lt;&gt;"","Yes","No"))</x:f>
        <x:v>No</x:v>
      </x:c>
      <x:c r="L29" s="124" t="str">
        <x:f>IF(OR(F29="No",I29=""),"",MAX(0,D29-I29))</x:f>
      </x:c>
      <x:c r="M29" s="124" t="str">
        <x:f>IF(F29="No","N/A",IF(I29="","Unscored",IF(AND(E29="Yes",I29&lt;D29),"Urgent",IF(L29&gt;0,"High",IF(K29="No","Medium","Maintain")))))</x:f>
        <x:v>Unscored</x:v>
      </x:c>
      <x:c r="N29" s="132"/>
      <x:c r="O29" s="133"/>
      <x:c r="P29" s="134"/>
      <x:c r="Q29" s="131"/>
    </x:row>
    <x:row r="30" ht="48" customHeight="1">
      <x:c r="A30" s="123" t="str">
        <x:v>S025</x:v>
      </x:c>
      <x:c r="B30" s="123" t="str">
        <x:v>3 User Access</x:v>
      </x:c>
      <x:c r="C30" s="123" t="str">
        <x:v>Member Access</x:v>
      </x:c>
      <x:c r="D30" s="123" t="n">
        <x:v>2</x:v>
      </x:c>
      <x:c r="E30" s="123" t="str">
        <x:v>Yes</x:v>
      </x:c>
      <x:c r="F30" s="123" t="str">
        <x:f>IF('Profile'!$B$14="Yes","Yes","No")</x:f>
        <x:v>Yes</x:v>
      </x:c>
      <x:c r="G30" s="124" t="str">
        <x:v>Conduct and disciplinary procedures provide reporting, fair review, documentation, and proportionate action.</x:v>
      </x:c>
      <x:c r="H30" s="124" t="str">
        <x:v>Conduct policy; complaint procedure; de-identified case log</x:v>
      </x:c>
      <x:c r="I30" s="130"/>
      <x:c r="J30" s="131"/>
      <x:c r="K30" s="124" t="str">
        <x:f>IF(F30="No","N/A",IF(J30&lt;&gt;"","Yes","No"))</x:f>
        <x:v>No</x:v>
      </x:c>
      <x:c r="L30" s="124" t="str">
        <x:f>IF(OR(F30="No",I30=""),"",MAX(0,D30-I30))</x:f>
      </x:c>
      <x:c r="M30" s="124" t="str">
        <x:f>IF(F30="No","N/A",IF(I30="","Unscored",IF(AND(E30="Yes",I30&lt;D30),"Urgent",IF(L30&gt;0,"High",IF(K30="No","Medium","Maintain")))))</x:f>
        <x:v>Unscored</x:v>
      </x:c>
      <x:c r="N30" s="132"/>
      <x:c r="O30" s="133"/>
      <x:c r="P30" s="134"/>
      <x:c r="Q30" s="131"/>
    </x:row>
    <x:row r="31" ht="48" customHeight="1">
      <x:c r="A31" s="123" t="str">
        <x:v>S026</x:v>
      </x:c>
      <x:c r="B31" s="123" t="str">
        <x:v>3 User Access</x:v>
      </x:c>
      <x:c r="C31" s="123" t="str">
        <x:v>Member Access</x:v>
      </x:c>
      <x:c r="D31" s="123" t="n">
        <x:v>3</x:v>
      </x:c>
      <x:c r="E31" s="123" t="str">
        <x:v>No</x:v>
      </x:c>
      <x:c r="F31" s="123" t="str">
        <x:f>IF('Profile'!$B$14="Yes","Yes","No")</x:f>
        <x:v>Yes</x:v>
      </x:c>
      <x:c r="G31" s="124" t="str">
        <x:v>Credential quality is periodically reviewed and portable credentials are accepted only through defined equivalency rules.</x:v>
      </x:c>
      <x:c r="H31" s="124" t="str">
        <x:v>Curriculum review; equivalency agreements; audit sample</x:v>
      </x:c>
      <x:c r="I31" s="130"/>
      <x:c r="J31" s="131"/>
      <x:c r="K31" s="124" t="str">
        <x:f>IF(F31="No","N/A",IF(J31&lt;&gt;"","Yes","No"))</x:f>
        <x:v>No</x:v>
      </x:c>
      <x:c r="L31" s="124" t="str">
        <x:f>IF(OR(F31="No",I31=""),"",MAX(0,D31-I31))</x:f>
      </x:c>
      <x:c r="M31" s="124" t="str">
        <x:f>IF(F31="No","N/A",IF(I31="","Unscored",IF(AND(E31="Yes",I31&lt;D31),"Urgent",IF(L31&gt;0,"High",IF(K31="No","Medium","Maintain")))))</x:f>
        <x:v>Unscored</x:v>
      </x:c>
      <x:c r="N31" s="132"/>
      <x:c r="O31" s="133"/>
      <x:c r="P31" s="134"/>
      <x:c r="Q31" s="131"/>
    </x:row>
    <x:row r="32" ht="48" customHeight="1">
      <x:c r="A32" s="123" t="str">
        <x:v>S027</x:v>
      </x:c>
      <x:c r="B32" s="123" t="str">
        <x:v>3 User Access</x:v>
      </x:c>
      <x:c r="C32" s="123" t="str">
        <x:v>Public Access</x:v>
      </x:c>
      <x:c r="D32" s="123" t="n">
        <x:v>1</x:v>
      </x:c>
      <x:c r="E32" s="123" t="str">
        <x:v>Yes</x:v>
      </x:c>
      <x:c r="F32" s="123" t="str">
        <x:f>IF('Profile'!$B$15="Yes","Yes","No")</x:f>
        <x:v>No</x:v>
      </x:c>
      <x:c r="G32" s="124" t="str">
        <x:v>Visitors register, accept safety/conduct rules, and remain within defined access boundaries.</x:v>
      </x:c>
      <x:c r="H32" s="124" t="str">
        <x:v>Visitor form; signage; sign-in log</x:v>
      </x:c>
      <x:c r="I32" s="130"/>
      <x:c r="J32" s="131"/>
      <x:c r="K32" s="124" t="str">
        <x:f>IF(F32="No","N/A",IF(J32&lt;&gt;"","Yes","No"))</x:f>
        <x:v>N/A</x:v>
      </x:c>
      <x:c r="L32" s="124" t="str">
        <x:f>IF(OR(F32="No",I32=""),"",MAX(0,D32-I32))</x:f>
      </x:c>
      <x:c r="M32" s="124" t="str">
        <x:f>IF(F32="No","N/A",IF(I32="","Unscored",IF(AND(E32="Yes",I32&lt;D32),"Urgent",IF(L32&gt;0,"High",IF(K32="No","Medium","Maintain")))))</x:f>
        <x:v>N/A</x:v>
      </x:c>
      <x:c r="N32" s="132"/>
      <x:c r="O32" s="133"/>
      <x:c r="P32" s="134"/>
      <x:c r="Q32" s="131"/>
    </x:row>
    <x:row r="33" ht="48" customHeight="1">
      <x:c r="A33" s="123" t="str">
        <x:v>S028</x:v>
      </x:c>
      <x:c r="B33" s="123" t="str">
        <x:v>3 User Access</x:v>
      </x:c>
      <x:c r="C33" s="123" t="str">
        <x:v>Public Access</x:v>
      </x:c>
      <x:c r="D33" s="123" t="n">
        <x:v>1</x:v>
      </x:c>
      <x:c r="E33" s="123" t="str">
        <x:v>Yes</x:v>
      </x:c>
      <x:c r="F33" s="123" t="str">
        <x:f>IF('Profile'!$B$15="Yes","Yes","No")</x:f>
        <x:v>No</x:v>
      </x:c>
      <x:c r="G33" s="124" t="str">
        <x:v>Staffing and supervision levels match the hazards available during public access.</x:v>
      </x:c>
      <x:c r="H33" s="124" t="str">
        <x:v>Coverage schedule; hazard/supervision matrix</x:v>
      </x:c>
      <x:c r="I33" s="130"/>
      <x:c r="J33" s="131"/>
      <x:c r="K33" s="124" t="str">
        <x:f>IF(F33="No","N/A",IF(J33&lt;&gt;"","Yes","No"))</x:f>
        <x:v>N/A</x:v>
      </x:c>
      <x:c r="L33" s="124" t="str">
        <x:f>IF(OR(F33="No",I33=""),"",MAX(0,D33-I33))</x:f>
      </x:c>
      <x:c r="M33" s="124" t="str">
        <x:f>IF(F33="No","N/A",IF(I33="","Unscored",IF(AND(E33="Yes",I33&lt;D33),"Urgent",IF(L33&gt;0,"High",IF(K33="No","Medium","Maintain")))))</x:f>
        <x:v>N/A</x:v>
      </x:c>
      <x:c r="N33" s="132"/>
      <x:c r="O33" s="133"/>
      <x:c r="P33" s="134"/>
      <x:c r="Q33" s="131"/>
    </x:row>
    <x:row r="34" ht="48" customHeight="1">
      <x:c r="A34" s="123" t="str">
        <x:v>S029</x:v>
      </x:c>
      <x:c r="B34" s="123" t="str">
        <x:v>3 User Access</x:v>
      </x:c>
      <x:c r="C34" s="123" t="str">
        <x:v>Public Access</x:v>
      </x:c>
      <x:c r="D34" s="123" t="n">
        <x:v>2</x:v>
      </x:c>
      <x:c r="E34" s="123" t="str">
        <x:v>Yes</x:v>
      </x:c>
      <x:c r="F34" s="123" t="str">
        <x:f>IF('Profile'!$B$15="Yes","Yes","No")</x:f>
        <x:v>No</x:v>
      </x:c>
      <x:c r="G34" s="124" t="str">
        <x:v>Point-of-use authorization or verified workshop credentials govern restricted equipment use.</x:v>
      </x:c>
      <x:c r="H34" s="124" t="str">
        <x:v>Facilitation procedure; credential records</x:v>
      </x:c>
      <x:c r="I34" s="130"/>
      <x:c r="J34" s="131"/>
      <x:c r="K34" s="124" t="str">
        <x:f>IF(F34="No","N/A",IF(J34&lt;&gt;"","Yes","No"))</x:f>
        <x:v>N/A</x:v>
      </x:c>
      <x:c r="L34" s="124" t="str">
        <x:f>IF(OR(F34="No",I34=""),"",MAX(0,D34-I34))</x:f>
      </x:c>
      <x:c r="M34" s="124" t="str">
        <x:f>IF(F34="No","N/A",IF(I34="","Unscored",IF(AND(E34="Yes",I34&lt;D34),"Urgent",IF(L34&gt;0,"High",IF(K34="No","Medium","Maintain")))))</x:f>
        <x:v>N/A</x:v>
      </x:c>
      <x:c r="N34" s="132"/>
      <x:c r="O34" s="133"/>
      <x:c r="P34" s="134"/>
      <x:c r="Q34" s="131"/>
    </x:row>
    <x:row r="35" ht="48" customHeight="1">
      <x:c r="A35" s="123" t="str">
        <x:v>S030</x:v>
      </x:c>
      <x:c r="B35" s="123" t="str">
        <x:v>3 User Access</x:v>
      </x:c>
      <x:c r="C35" s="123" t="str">
        <x:v>Public Access</x:v>
      </x:c>
      <x:c r="D35" s="123" t="n">
        <x:v>2</x:v>
      </x:c>
      <x:c r="E35" s="123" t="str">
        <x:v>No</x:v>
      </x:c>
      <x:c r="F35" s="123" t="str">
        <x:f>IF('Profile'!$B$15="Yes","Yes","No")</x:f>
        <x:v>No</x:v>
      </x:c>
      <x:c r="G35" s="124" t="str">
        <x:v>Accessible pathways help repeat visitors advance from introduction to independent capability.</x:v>
      </x:c>
      <x:c r="H35" s="124" t="str">
        <x:v>Program pathway; participant guidance</x:v>
      </x:c>
      <x:c r="I35" s="130"/>
      <x:c r="J35" s="131"/>
      <x:c r="K35" s="124" t="str">
        <x:f>IF(F35="No","N/A",IF(J35&lt;&gt;"","Yes","No"))</x:f>
        <x:v>N/A</x:v>
      </x:c>
      <x:c r="L35" s="124" t="str">
        <x:f>IF(OR(F35="No",I35=""),"",MAX(0,D35-I35))</x:f>
      </x:c>
      <x:c r="M35" s="124" t="str">
        <x:f>IF(F35="No","N/A",IF(I35="","Unscored",IF(AND(E35="Yes",I35&lt;D35),"Urgent",IF(L35&gt;0,"High",IF(K35="No","Medium","Maintain")))))</x:f>
        <x:v>N/A</x:v>
      </x:c>
      <x:c r="N35" s="132"/>
      <x:c r="O35" s="133"/>
      <x:c r="P35" s="134"/>
      <x:c r="Q35" s="131"/>
    </x:row>
    <x:row r="36" ht="48" customHeight="1">
      <x:c r="A36" s="123" t="str">
        <x:v>S031</x:v>
      </x:c>
      <x:c r="B36" s="123" t="str">
        <x:v>3 User Access</x:v>
      </x:c>
      <x:c r="C36" s="123" t="str">
        <x:v>Public Access</x:v>
      </x:c>
      <x:c r="D36" s="123" t="n">
        <x:v>3</x:v>
      </x:c>
      <x:c r="E36" s="123" t="str">
        <x:v>No</x:v>
      </x:c>
      <x:c r="F36" s="123" t="str">
        <x:f>IF('Profile'!$B$15="Yes","Yes","No")</x:f>
        <x:v>No</x:v>
      </x:c>
      <x:c r="G36" s="124" t="str">
        <x:v>Public-access data and feedback are reviewed to improve hours, staffing, access, and instruction.</x:v>
      </x:c>
      <x:c r="H36" s="124" t="str">
        <x:v>Three annual reviews; change log</x:v>
      </x:c>
      <x:c r="I36" s="130"/>
      <x:c r="J36" s="131"/>
      <x:c r="K36" s="124" t="str">
        <x:f>IF(F36="No","N/A",IF(J36&lt;&gt;"","Yes","No"))</x:f>
        <x:v>N/A</x:v>
      </x:c>
      <x:c r="L36" s="124" t="str">
        <x:f>IF(OR(F36="No",I36=""),"",MAX(0,D36-I36))</x:f>
      </x:c>
      <x:c r="M36" s="124" t="str">
        <x:f>IF(F36="No","N/A",IF(I36="","Unscored",IF(AND(E36="Yes",I36&lt;D36),"Urgent",IF(L36&gt;0,"High",IF(K36="No","Medium","Maintain")))))</x:f>
        <x:v>N/A</x:v>
      </x:c>
      <x:c r="N36" s="132"/>
      <x:c r="O36" s="133"/>
      <x:c r="P36" s="134"/>
      <x:c r="Q36" s="131"/>
    </x:row>
    <x:row r="37" ht="48" customHeight="1">
      <x:c r="A37" s="123" t="str">
        <x:v>S032</x:v>
      </x:c>
      <x:c r="B37" s="123" t="str">
        <x:v>4 Facility &amp; Assets</x:v>
      </x:c>
      <x:c r="C37" s="123" t="str">
        <x:v>Core</x:v>
      </x:c>
      <x:c r="D37" s="123" t="n">
        <x:v>1</x:v>
      </x:c>
      <x:c r="E37" s="123" t="str">
        <x:v>Yes</x:v>
      </x:c>
      <x:c r="F37" s="123" t="str">
        <x:f>"Yes"</x:f>
        <x:v>Yes</x:v>
      </x:c>
      <x:c r="G37" s="124" t="str">
        <x:v>A current inventory identifies major equipment, location, status, and responsible lead.</x:v>
      </x:c>
      <x:c r="H37" s="124" t="str">
        <x:v>Asset register</x:v>
      </x:c>
      <x:c r="I37" s="130"/>
      <x:c r="J37" s="131"/>
      <x:c r="K37" s="124" t="str">
        <x:f>IF(F37="No","N/A",IF(J37&lt;&gt;"","Yes","No"))</x:f>
        <x:v>No</x:v>
      </x:c>
      <x:c r="L37" s="124" t="str">
        <x:f>IF(OR(F37="No",I37=""),"",MAX(0,D37-I37))</x:f>
      </x:c>
      <x:c r="M37" s="124" t="str">
        <x:f>IF(F37="No","N/A",IF(I37="","Unscored",IF(AND(E37="Yes",I37&lt;D37),"Urgent",IF(L37&gt;0,"High",IF(K37="No","Medium","Maintain")))))</x:f>
        <x:v>Unscored</x:v>
      </x:c>
      <x:c r="N37" s="132"/>
      <x:c r="O37" s="133"/>
      <x:c r="P37" s="134"/>
      <x:c r="Q37" s="131"/>
    </x:row>
    <x:row r="38" ht="48" customHeight="1">
      <x:c r="A38" s="123" t="str">
        <x:v>S033</x:v>
      </x:c>
      <x:c r="B38" s="123" t="str">
        <x:v>4 Facility &amp; Assets</x:v>
      </x:c>
      <x:c r="C38" s="123" t="str">
        <x:v>Core</x:v>
      </x:c>
      <x:c r="D38" s="123" t="n">
        <x:v>1</x:v>
      </x:c>
      <x:c r="E38" s="123" t="str">
        <x:v>Yes</x:v>
      </x:c>
      <x:c r="F38" s="123" t="str">
        <x:f>"Yes"</x:f>
        <x:v>Yes</x:v>
      </x:c>
      <x:c r="G38" s="124" t="str">
        <x:v>Unsafe equipment is clearly locked out and cannot return to service without authorization.</x:v>
      </x:c>
      <x:c r="H38" s="124" t="str">
        <x:v>Lockout procedure; repair/release records</x:v>
      </x:c>
      <x:c r="I38" s="130"/>
      <x:c r="J38" s="131"/>
      <x:c r="K38" s="124" t="str">
        <x:f>IF(F38="No","N/A",IF(J38&lt;&gt;"","Yes","No"))</x:f>
        <x:v>No</x:v>
      </x:c>
      <x:c r="L38" s="124" t="str">
        <x:f>IF(OR(F38="No",I38=""),"",MAX(0,D38-I38))</x:f>
      </x:c>
      <x:c r="M38" s="124" t="str">
        <x:f>IF(F38="No","N/A",IF(I38="","Unscored",IF(AND(E38="Yes",I38&lt;D38),"Urgent",IF(L38&gt;0,"High",IF(K38="No","Medium","Maintain")))))</x:f>
        <x:v>Unscored</x:v>
      </x:c>
      <x:c r="N38" s="132"/>
      <x:c r="O38" s="133"/>
      <x:c r="P38" s="134"/>
      <x:c r="Q38" s="131"/>
    </x:row>
    <x:row r="39" ht="48" customHeight="1">
      <x:c r="A39" s="123" t="str">
        <x:v>S034</x:v>
      </x:c>
      <x:c r="B39" s="123" t="str">
        <x:v>4 Facility &amp; Assets</x:v>
      </x:c>
      <x:c r="C39" s="123" t="str">
        <x:v>Core</x:v>
      </x:c>
      <x:c r="D39" s="123" t="n">
        <x:v>2</x:v>
      </x:c>
      <x:c r="E39" s="123" t="str">
        <x:v>Yes</x:v>
      </x:c>
      <x:c r="F39" s="123" t="str">
        <x:f>"Yes"</x:f>
        <x:v>Yes</x:v>
      </x:c>
      <x:c r="G39" s="124" t="str">
        <x:v>Preventive maintenance schedules reflect manufacturer guidance, use, and risk.</x:v>
      </x:c>
      <x:c r="H39" s="124" t="str">
        <x:v>Maintenance schedule and completed logs</x:v>
      </x:c>
      <x:c r="I39" s="130"/>
      <x:c r="J39" s="131"/>
      <x:c r="K39" s="124" t="str">
        <x:f>IF(F39="No","N/A",IF(J39&lt;&gt;"","Yes","No"))</x:f>
        <x:v>No</x:v>
      </x:c>
      <x:c r="L39" s="124" t="str">
        <x:f>IF(OR(F39="No",I39=""),"",MAX(0,D39-I39))</x:f>
      </x:c>
      <x:c r="M39" s="124" t="str">
        <x:f>IF(F39="No","N/A",IF(I39="","Unscored",IF(AND(E39="Yes",I39&lt;D39),"Urgent",IF(L39&gt;0,"High",IF(K39="No","Medium","Maintain")))))</x:f>
        <x:v>Unscored</x:v>
      </x:c>
      <x:c r="N39" s="132"/>
      <x:c r="O39" s="133"/>
      <x:c r="P39" s="134"/>
      <x:c r="Q39" s="131"/>
    </x:row>
    <x:row r="40" ht="48" customHeight="1">
      <x:c r="A40" s="123" t="str">
        <x:v>S035</x:v>
      </x:c>
      <x:c r="B40" s="123" t="str">
        <x:v>4 Facility &amp; Assets</x:v>
      </x:c>
      <x:c r="C40" s="123" t="str">
        <x:v>Core</x:v>
      </x:c>
      <x:c r="D40" s="123" t="n">
        <x:v>2</x:v>
      </x:c>
      <x:c r="E40" s="123" t="str">
        <x:v>No</x:v>
      </x:c>
      <x:c r="F40" s="123" t="str">
        <x:f>"Yes"</x:f>
        <x:v>Yes</x:v>
      </x:c>
      <x:c r="G40" s="124" t="str">
        <x:v>Original manuals, warranties, leases, insurance, access-control configuration, and critical records are securely backed up.</x:v>
      </x:c>
      <x:c r="H40" s="124" t="str">
        <x:v>Document index; backup test</x:v>
      </x:c>
      <x:c r="I40" s="130"/>
      <x:c r="J40" s="131"/>
      <x:c r="K40" s="124" t="str">
        <x:f>IF(F40="No","N/A",IF(J40&lt;&gt;"","Yes","No"))</x:f>
        <x:v>No</x:v>
      </x:c>
      <x:c r="L40" s="124" t="str">
        <x:f>IF(OR(F40="No",I40=""),"",MAX(0,D40-I40))</x:f>
      </x:c>
      <x:c r="M40" s="124" t="str">
        <x:f>IF(F40="No","N/A",IF(I40="","Unscored",IF(AND(E40="Yes",I40&lt;D40),"Urgent",IF(L40&gt;0,"High",IF(K40="No","Medium","Maintain")))))</x:f>
        <x:v>Unscored</x:v>
      </x:c>
      <x:c r="N40" s="132"/>
      <x:c r="O40" s="133"/>
      <x:c r="P40" s="134"/>
      <x:c r="Q40" s="131"/>
    </x:row>
    <x:row r="41" ht="48" customHeight="1">
      <x:c r="A41" s="123" t="str">
        <x:v>S036</x:v>
      </x:c>
      <x:c r="B41" s="123" t="str">
        <x:v>4 Facility &amp; Assets</x:v>
      </x:c>
      <x:c r="C41" s="123" t="str">
        <x:v>Core</x:v>
      </x:c>
      <x:c r="D41" s="123" t="n">
        <x:v>2</x:v>
      </x:c>
      <x:c r="E41" s="123" t="str">
        <x:v>Yes</x:v>
      </x:c>
      <x:c r="F41" s="123" t="str">
        <x:f>"Yes"</x:f>
        <x:v>Yes</x:v>
      </x:c>
      <x:c r="G41" s="124" t="str">
        <x:v>Shop inspections verify egress, storage, guards, utilities, ventilation, and housekeeping.</x:v>
      </x:c>
      <x:c r="H41" s="124" t="str">
        <x:v>Routine inspection checklists; corrective actions</x:v>
      </x:c>
      <x:c r="I41" s="130"/>
      <x:c r="J41" s="131"/>
      <x:c r="K41" s="124" t="str">
        <x:f>IF(F41="No","N/A",IF(J41&lt;&gt;"","Yes","No"))</x:f>
        <x:v>No</x:v>
      </x:c>
      <x:c r="L41" s="124" t="str">
        <x:f>IF(OR(F41="No",I41=""),"",MAX(0,D41-I41))</x:f>
      </x:c>
      <x:c r="M41" s="124" t="str">
        <x:f>IF(F41="No","N/A",IF(I41="","Unscored",IF(AND(E41="Yes",I41&lt;D41),"Urgent",IF(L41&gt;0,"High",IF(K41="No","Medium","Maintain")))))</x:f>
        <x:v>Unscored</x:v>
      </x:c>
      <x:c r="N41" s="132"/>
      <x:c r="O41" s="133"/>
      <x:c r="P41" s="134"/>
      <x:c r="Q41" s="131"/>
    </x:row>
    <x:row r="42" ht="48" customHeight="1">
      <x:c r="A42" s="123" t="str">
        <x:v>S037</x:v>
      </x:c>
      <x:c r="B42" s="123" t="str">
        <x:v>4 Facility &amp; Assets</x:v>
      </x:c>
      <x:c r="C42" s="123" t="str">
        <x:v>Core</x:v>
      </x:c>
      <x:c r="D42" s="123" t="n">
        <x:v>2</x:v>
      </x:c>
      <x:c r="E42" s="123" t="str">
        <x:v>No</x:v>
      </x:c>
      <x:c r="F42" s="123" t="str">
        <x:f>"Yes"</x:f>
        <x:v>Yes</x:v>
      </x:c>
      <x:c r="G42" s="124" t="str">
        <x:v>Critical digital services have named owners, backups, recovery instructions, and controlled administrator access.</x:v>
      </x:c>
      <x:c r="H42" s="124" t="str">
        <x:v>Systems register; recovery test; admin roster</x:v>
      </x:c>
      <x:c r="I42" s="130"/>
      <x:c r="J42" s="131"/>
      <x:c r="K42" s="124" t="str">
        <x:f>IF(F42="No","N/A",IF(J42&lt;&gt;"","Yes","No"))</x:f>
        <x:v>No</x:v>
      </x:c>
      <x:c r="L42" s="124" t="str">
        <x:f>IF(OR(F42="No",I42=""),"",MAX(0,D42-I42))</x:f>
      </x:c>
      <x:c r="M42" s="124" t="str">
        <x:f>IF(F42="No","N/A",IF(I42="","Unscored",IF(AND(E42="Yes",I42&lt;D42),"Urgent",IF(L42&gt;0,"High",IF(K42="No","Medium","Maintain")))))</x:f>
        <x:v>Unscored</x:v>
      </x:c>
      <x:c r="N42" s="132"/>
      <x:c r="O42" s="133"/>
      <x:c r="P42" s="134"/>
      <x:c r="Q42" s="131"/>
    </x:row>
    <x:row r="43" ht="48" customHeight="1">
      <x:c r="A43" s="123" t="str">
        <x:v>S038</x:v>
      </x:c>
      <x:c r="B43" s="123" t="str">
        <x:v>4 Facility &amp; Assets</x:v>
      </x:c>
      <x:c r="C43" s="123" t="str">
        <x:v>Core</x:v>
      </x:c>
      <x:c r="D43" s="123" t="n">
        <x:v>3</x:v>
      </x:c>
      <x:c r="E43" s="123" t="str">
        <x:v>Yes</x:v>
      </x:c>
      <x:c r="F43" s="123" t="str">
        <x:f>"Yes"</x:f>
        <x:v>Yes</x:v>
      </x:c>
      <x:c r="G43" s="124" t="str">
        <x:v>Annual asset audits reconcile inventory, condition, maintenance, training controls, and replacement needs.</x:v>
      </x:c>
      <x:c r="H43" s="124" t="str">
        <x:v>Three annual asset audits</x:v>
      </x:c>
      <x:c r="I43" s="130"/>
      <x:c r="J43" s="131"/>
      <x:c r="K43" s="124" t="str">
        <x:f>IF(F43="No","N/A",IF(J43&lt;&gt;"","Yes","No"))</x:f>
        <x:v>No</x:v>
      </x:c>
      <x:c r="L43" s="124" t="str">
        <x:f>IF(OR(F43="No",I43=""),"",MAX(0,D43-I43))</x:f>
      </x:c>
      <x:c r="M43" s="124" t="str">
        <x:f>IF(F43="No","N/A",IF(I43="","Unscored",IF(AND(E43="Yes",I43&lt;D43),"Urgent",IF(L43&gt;0,"High",IF(K43="No","Medium","Maintain")))))</x:f>
        <x:v>Unscored</x:v>
      </x:c>
      <x:c r="N43" s="132"/>
      <x:c r="O43" s="133"/>
      <x:c r="P43" s="134"/>
      <x:c r="Q43" s="131"/>
    </x:row>
    <x:row r="44" ht="48" customHeight="1">
      <x:c r="A44" s="123" t="str">
        <x:v>S039</x:v>
      </x:c>
      <x:c r="B44" s="123" t="str">
        <x:v>4 Facility &amp; Assets</x:v>
      </x:c>
      <x:c r="C44" s="123" t="str">
        <x:v>Core</x:v>
      </x:c>
      <x:c r="D44" s="123" t="n">
        <x:v>3</x:v>
      </x:c>
      <x:c r="E44" s="123" t="str">
        <x:v>No</x:v>
      </x:c>
      <x:c r="F44" s="123" t="str">
        <x:f>"Yes"</x:f>
        <x:v>Yes</x:v>
      </x:c>
      <x:c r="G44" s="124" t="str">
        <x:v>A board-designated capital replacement plan and reserve reflect documented lifecycle needs.</x:v>
      </x:c>
      <x:c r="H44" s="124" t="str">
        <x:v>Replacement forecast; reserve policy; statements</x:v>
      </x:c>
      <x:c r="I44" s="130"/>
      <x:c r="J44" s="131"/>
      <x:c r="K44" s="124" t="str">
        <x:f>IF(F44="No","N/A",IF(J44&lt;&gt;"","Yes","No"))</x:f>
        <x:v>No</x:v>
      </x:c>
      <x:c r="L44" s="124" t="str">
        <x:f>IF(OR(F44="No",I44=""),"",MAX(0,D44-I44))</x:f>
      </x:c>
      <x:c r="M44" s="124" t="str">
        <x:f>IF(F44="No","N/A",IF(I44="","Unscored",IF(AND(E44="Yes",I44&lt;D44),"Urgent",IF(L44&gt;0,"High",IF(K44="No","Medium","Maintain")))))</x:f>
        <x:v>Unscored</x:v>
      </x:c>
      <x:c r="N44" s="132"/>
      <x:c r="O44" s="133"/>
      <x:c r="P44" s="134"/>
      <x:c r="Q44" s="131"/>
    </x:row>
    <x:row r="45" ht="48" customHeight="1">
      <x:c r="A45" s="123" t="str">
        <x:v>S040</x:v>
      </x:c>
      <x:c r="B45" s="123" t="str">
        <x:v>5 Finance &amp; People</x:v>
      </x:c>
      <x:c r="C45" s="123" t="str">
        <x:v>Core</x:v>
      </x:c>
      <x:c r="D45" s="123" t="n">
        <x:v>1</x:v>
      </x:c>
      <x:c r="E45" s="123" t="str">
        <x:v>Yes</x:v>
      </x:c>
      <x:c r="F45" s="123" t="str">
        <x:f>"Yes"</x:f>
        <x:v>Yes</x:v>
      </x:c>
      <x:c r="G45" s="124" t="str">
        <x:v>Board approves an annual budget and reviews timely budget-to-actual, balance sheet, and cash information.</x:v>
      </x:c>
      <x:c r="H45" s="124" t="str">
        <x:v>Approved budget; financial packets; minutes</x:v>
      </x:c>
      <x:c r="I45" s="130"/>
      <x:c r="J45" s="131"/>
      <x:c r="K45" s="124" t="str">
        <x:f>IF(F45="No","N/A",IF(J45&lt;&gt;"","Yes","No"))</x:f>
        <x:v>No</x:v>
      </x:c>
      <x:c r="L45" s="124" t="str">
        <x:f>IF(OR(F45="No",I45=""),"",MAX(0,D45-I45))</x:f>
      </x:c>
      <x:c r="M45" s="124" t="str">
        <x:f>IF(F45="No","N/A",IF(I45="","Unscored",IF(AND(E45="Yes",I45&lt;D45),"Urgent",IF(L45&gt;0,"High",IF(K45="No","Medium","Maintain")))))</x:f>
        <x:v>Unscored</x:v>
      </x:c>
      <x:c r="N45" s="132"/>
      <x:c r="O45" s="133"/>
      <x:c r="P45" s="134"/>
      <x:c r="Q45" s="131"/>
    </x:row>
    <x:row r="46" ht="48" customHeight="1">
      <x:c r="A46" s="123" t="str">
        <x:v>S041</x:v>
      </x:c>
      <x:c r="B46" s="123" t="str">
        <x:v>5 Finance &amp; People</x:v>
      </x:c>
      <x:c r="C46" s="123" t="str">
        <x:v>Core</x:v>
      </x:c>
      <x:c r="D46" s="123" t="n">
        <x:v>1</x:v>
      </x:c>
      <x:c r="E46" s="123" t="str">
        <x:v>Yes</x:v>
      </x:c>
      <x:c r="F46" s="123" t="str">
        <x:f>"Yes"</x:f>
        <x:v>Yes</x:v>
      </x:c>
      <x:c r="G46" s="124" t="str">
        <x:v>Financial duties are separated or compensating controls are documented for receipts, payments, payroll, and reconciliation.</x:v>
      </x:c>
      <x:c r="H46" s="124" t="str">
        <x:v>Control matrix; approvals; reconciliation samples</x:v>
      </x:c>
      <x:c r="I46" s="130"/>
      <x:c r="J46" s="131"/>
      <x:c r="K46" s="124" t="str">
        <x:f>IF(F46="No","N/A",IF(J46&lt;&gt;"","Yes","No"))</x:f>
        <x:v>No</x:v>
      </x:c>
      <x:c r="L46" s="124" t="str">
        <x:f>IF(OR(F46="No",I46=""),"",MAX(0,D46-I46))</x:f>
      </x:c>
      <x:c r="M46" s="124" t="str">
        <x:f>IF(F46="No","N/A",IF(I46="","Unscored",IF(AND(E46="Yes",I46&lt;D46),"Urgent",IF(L46&gt;0,"High",IF(K46="No","Medium","Maintain")))))</x:f>
        <x:v>Unscored</x:v>
      </x:c>
      <x:c r="N46" s="132"/>
      <x:c r="O46" s="133"/>
      <x:c r="P46" s="134"/>
      <x:c r="Q46" s="131"/>
    </x:row>
    <x:row r="47" ht="48" customHeight="1">
      <x:c r="A47" s="123" t="str">
        <x:v>S042</x:v>
      </x:c>
      <x:c r="B47" s="123" t="str">
        <x:v>5 Finance &amp; People</x:v>
      </x:c>
      <x:c r="C47" s="123" t="str">
        <x:v>Core</x:v>
      </x:c>
      <x:c r="D47" s="123" t="n">
        <x:v>1</x:v>
      </x:c>
      <x:c r="E47" s="123" t="str">
        <x:v>Yes</x:v>
      </x:c>
      <x:c r="F47" s="123" t="str">
        <x:f>"Yes"</x:f>
        <x:v>Yes</x:v>
      </x:c>
      <x:c r="G47" s="124" t="str">
        <x:v>Restricted funds, donations, acknowledgments, and fundraising claims are handled accurately.</x:v>
      </x:c>
      <x:c r="H47" s="124" t="str">
        <x:v>Gift records; acknowledgments; restrictions schedule</x:v>
      </x:c>
      <x:c r="I47" s="130"/>
      <x:c r="J47" s="131"/>
      <x:c r="K47" s="124" t="str">
        <x:f>IF(F47="No","N/A",IF(J47&lt;&gt;"","Yes","No"))</x:f>
        <x:v>No</x:v>
      </x:c>
      <x:c r="L47" s="124" t="str">
        <x:f>IF(OR(F47="No",I47=""),"",MAX(0,D47-I47))</x:f>
      </x:c>
      <x:c r="M47" s="124" t="str">
        <x:f>IF(F47="No","N/A",IF(I47="","Unscored",IF(AND(E47="Yes",I47&lt;D47),"Urgent",IF(L47&gt;0,"High",IF(K47="No","Medium","Maintain")))))</x:f>
        <x:v>Unscored</x:v>
      </x:c>
      <x:c r="N47" s="132"/>
      <x:c r="O47" s="133"/>
      <x:c r="P47" s="134"/>
      <x:c r="Q47" s="131"/>
    </x:row>
    <x:row r="48" ht="48" customHeight="1">
      <x:c r="A48" s="123" t="str">
        <x:v>S043</x:v>
      </x:c>
      <x:c r="B48" s="123" t="str">
        <x:v>5 Finance &amp; People</x:v>
      </x:c>
      <x:c r="C48" s="123" t="str">
        <x:v>Core</x:v>
      </x:c>
      <x:c r="D48" s="123" t="n">
        <x:v>2</x:v>
      </x:c>
      <x:c r="E48" s="123" t="str">
        <x:v>Yes</x:v>
      </x:c>
      <x:c r="F48" s="123" t="str">
        <x:f>"Yes"</x:f>
        <x:v>Yes</x:v>
      </x:c>
      <x:c r="G48" s="124" t="str">
        <x:v>Board reviews liquidity, revenue concentration, liabilities, and insurance at least annually.</x:v>
      </x:c>
      <x:c r="H48" s="124" t="str">
        <x:v>Dashboard; risk discussion minutes</x:v>
      </x:c>
      <x:c r="I48" s="130"/>
      <x:c r="J48" s="131"/>
      <x:c r="K48" s="124" t="str">
        <x:f>IF(F48="No","N/A",IF(J48&lt;&gt;"","Yes","No"))</x:f>
        <x:v>No</x:v>
      </x:c>
      <x:c r="L48" s="124" t="str">
        <x:f>IF(OR(F48="No",I48=""),"",MAX(0,D48-I48))</x:f>
      </x:c>
      <x:c r="M48" s="124" t="str">
        <x:f>IF(F48="No","N/A",IF(I48="","Unscored",IF(AND(E48="Yes",I48&lt;D48),"Urgent",IF(L48&gt;0,"High",IF(K48="No","Medium","Maintain")))))</x:f>
        <x:v>Unscored</x:v>
      </x:c>
      <x:c r="N48" s="132"/>
      <x:c r="O48" s="133"/>
      <x:c r="P48" s="134"/>
      <x:c r="Q48" s="131"/>
    </x:row>
    <x:row r="49" ht="48" customHeight="1">
      <x:c r="A49" s="123" t="str">
        <x:v>S044</x:v>
      </x:c>
      <x:c r="B49" s="123" t="str">
        <x:v>5 Finance &amp; People</x:v>
      </x:c>
      <x:c r="C49" s="123" t="str">
        <x:v>Core</x:v>
      </x:c>
      <x:c r="D49" s="123" t="n">
        <x:v>2</x:v>
      </x:c>
      <x:c r="E49" s="123" t="str">
        <x:v>No</x:v>
      </x:c>
      <x:c r="F49" s="123" t="str">
        <x:f>"Yes"</x:f>
        <x:v>Yes</x:v>
      </x:c>
      <x:c r="G49" s="124" t="str">
        <x:v>Independent financial review, compilation, or audit matches legal requirements and organizational risk.</x:v>
      </x:c>
      <x:c r="H49" s="124" t="str">
        <x:v>Accountant report; management letter response</x:v>
      </x:c>
      <x:c r="I49" s="130"/>
      <x:c r="J49" s="131"/>
      <x:c r="K49" s="124" t="str">
        <x:f>IF(F49="No","N/A",IF(J49&lt;&gt;"","Yes","No"))</x:f>
        <x:v>No</x:v>
      </x:c>
      <x:c r="L49" s="124" t="str">
        <x:f>IF(OR(F49="No",I49=""),"",MAX(0,D49-I49))</x:f>
      </x:c>
      <x:c r="M49" s="124" t="str">
        <x:f>IF(F49="No","N/A",IF(I49="","Unscored",IF(AND(E49="Yes",I49&lt;D49),"Urgent",IF(L49&gt;0,"High",IF(K49="No","Medium","Maintain")))))</x:f>
        <x:v>Unscored</x:v>
      </x:c>
      <x:c r="N49" s="132"/>
      <x:c r="O49" s="133"/>
      <x:c r="P49" s="134"/>
      <x:c r="Q49" s="131"/>
    </x:row>
    <x:row r="50" ht="48" customHeight="1">
      <x:c r="A50" s="123" t="str">
        <x:v>S045</x:v>
      </x:c>
      <x:c r="B50" s="123" t="str">
        <x:v>5 Finance &amp; People</x:v>
      </x:c>
      <x:c r="C50" s="123" t="str">
        <x:v>Core</x:v>
      </x:c>
      <x:c r="D50" s="123" t="n">
        <x:v>3</x:v>
      </x:c>
      <x:c r="E50" s="123" t="str">
        <x:v>Yes</x:v>
      </x:c>
      <x:c r="F50" s="123" t="str">
        <x:f>"Yes"</x:f>
        <x:v>Yes</x:v>
      </x:c>
      <x:c r="G50" s="124" t="str">
        <x:v>Multi-year forecasts and reserves demonstrate a credible continuity plan under adverse scenarios.</x:v>
      </x:c>
      <x:c r="H50" s="124" t="str">
        <x:v>Forecast; scenario analysis; reserve policy</x:v>
      </x:c>
      <x:c r="I50" s="130"/>
      <x:c r="J50" s="131"/>
      <x:c r="K50" s="124" t="str">
        <x:f>IF(F50="No","N/A",IF(J50&lt;&gt;"","Yes","No"))</x:f>
        <x:v>No</x:v>
      </x:c>
      <x:c r="L50" s="124" t="str">
        <x:f>IF(OR(F50="No",I50=""),"",MAX(0,D50-I50))</x:f>
      </x:c>
      <x:c r="M50" s="124" t="str">
        <x:f>IF(F50="No","N/A",IF(I50="","Unscored",IF(AND(E50="Yes",I50&lt;D50),"Urgent",IF(L50&gt;0,"High",IF(K50="No","Medium","Maintain")))))</x:f>
        <x:v>Unscored</x:v>
      </x:c>
      <x:c r="N50" s="132"/>
      <x:c r="O50" s="133"/>
      <x:c r="P50" s="134"/>
      <x:c r="Q50" s="131"/>
    </x:row>
    <x:row r="51" ht="48" customHeight="1">
      <x:c r="A51" s="123" t="str">
        <x:v>S046</x:v>
      </x:c>
      <x:c r="B51" s="123" t="str">
        <x:v>5 Finance &amp; People</x:v>
      </x:c>
      <x:c r="C51" s="123" t="str">
        <x:v>Paid Staff</x:v>
      </x:c>
      <x:c r="D51" s="123" t="n">
        <x:v>1</x:v>
      </x:c>
      <x:c r="E51" s="123" t="str">
        <x:v>Yes</x:v>
      </x:c>
      <x:c r="F51" s="123" t="str">
        <x:f>IF('Profile'!$B$16="Yes","Yes","No")</x:f>
        <x:v>Yes</x:v>
      </x:c>
      <x:c r="G51" s="124" t="str">
        <x:v>Every employee has a current job description, lawful classification, payroll processing, and required postings.</x:v>
      </x:c>
      <x:c r="H51" s="124" t="str">
        <x:v>Job descriptions; payroll records; postings checklist</x:v>
      </x:c>
      <x:c r="I51" s="130"/>
      <x:c r="J51" s="131"/>
      <x:c r="K51" s="124" t="str">
        <x:f>IF(F51="No","N/A",IF(J51&lt;&gt;"","Yes","No"))</x:f>
        <x:v>No</x:v>
      </x:c>
      <x:c r="L51" s="124" t="str">
        <x:f>IF(OR(F51="No",I51=""),"",MAX(0,D51-I51))</x:f>
      </x:c>
      <x:c r="M51" s="124" t="str">
        <x:f>IF(F51="No","N/A",IF(I51="","Unscored",IF(AND(E51="Yes",I51&lt;D51),"Urgent",IF(L51&gt;0,"High",IF(K51="No","Medium","Maintain")))))</x:f>
        <x:v>Unscored</x:v>
      </x:c>
      <x:c r="N51" s="132"/>
      <x:c r="O51" s="133"/>
      <x:c r="P51" s="134"/>
      <x:c r="Q51" s="131"/>
    </x:row>
    <x:row r="52" ht="48" customHeight="1">
      <x:c r="A52" s="123" t="str">
        <x:v>S047</x:v>
      </x:c>
      <x:c r="B52" s="123" t="str">
        <x:v>5 Finance &amp; People</x:v>
      </x:c>
      <x:c r="C52" s="123" t="str">
        <x:v>Paid Staff</x:v>
      </x:c>
      <x:c r="D52" s="123" t="n">
        <x:v>2</x:v>
      </x:c>
      <x:c r="E52" s="123" t="str">
        <x:v>Yes</x:v>
      </x:c>
      <x:c r="F52" s="123" t="str">
        <x:f>IF('Profile'!$B$16="Yes","Yes","No")</x:f>
        <x:v>Yes</x:v>
      </x:c>
      <x:c r="G52" s="124" t="str">
        <x:v>Employee handbook covers conduct, harassment, leave, hours, safety, complaints, and discipline.</x:v>
      </x:c>
      <x:c r="H52" s="124" t="str">
        <x:v>Current handbook; acknowledgments</x:v>
      </x:c>
      <x:c r="I52" s="130"/>
      <x:c r="J52" s="131"/>
      <x:c r="K52" s="124" t="str">
        <x:f>IF(F52="No","N/A",IF(J52&lt;&gt;"","Yes","No"))</x:f>
        <x:v>No</x:v>
      </x:c>
      <x:c r="L52" s="124" t="str">
        <x:f>IF(OR(F52="No",I52=""),"",MAX(0,D52-I52))</x:f>
      </x:c>
      <x:c r="M52" s="124" t="str">
        <x:f>IF(F52="No","N/A",IF(I52="","Unscored",IF(AND(E52="Yes",I52&lt;D52),"Urgent",IF(L52&gt;0,"High",IF(K52="No","Medium","Maintain")))))</x:f>
        <x:v>Unscored</x:v>
      </x:c>
      <x:c r="N52" s="132"/>
      <x:c r="O52" s="133"/>
      <x:c r="P52" s="134"/>
      <x:c r="Q52" s="131"/>
    </x:row>
    <x:row r="53" ht="48" customHeight="1">
      <x:c r="A53" s="123" t="str">
        <x:v>S048</x:v>
      </x:c>
      <x:c r="B53" s="123" t="str">
        <x:v>5 Finance &amp; People</x:v>
      </x:c>
      <x:c r="C53" s="123" t="str">
        <x:v>Paid Staff</x:v>
      </x:c>
      <x:c r="D53" s="123" t="n">
        <x:v>2</x:v>
      </x:c>
      <x:c r="E53" s="123" t="str">
        <x:v>No</x:v>
      </x:c>
      <x:c r="F53" s="123" t="str">
        <x:f>IF('Profile'!$B$16="Yes","Yes","No")</x:f>
        <x:v>Yes</x:v>
      </x:c>
      <x:c r="G53" s="124" t="str">
        <x:v>Performance goals, supervision, compensation review, and annual evaluations are documented.</x:v>
      </x:c>
      <x:c r="H53" s="124" t="str">
        <x:v>Review schedule; completed evaluations</x:v>
      </x:c>
      <x:c r="I53" s="130"/>
      <x:c r="J53" s="131"/>
      <x:c r="K53" s="124" t="str">
        <x:f>IF(F53="No","N/A",IF(J53&lt;&gt;"","Yes","No"))</x:f>
        <x:v>No</x:v>
      </x:c>
      <x:c r="L53" s="124" t="str">
        <x:f>IF(OR(F53="No",I53=""),"",MAX(0,D53-I53))</x:f>
      </x:c>
      <x:c r="M53" s="124" t="str">
        <x:f>IF(F53="No","N/A",IF(I53="","Unscored",IF(AND(E53="Yes",I53&lt;D53),"Urgent",IF(L53&gt;0,"High",IF(K53="No","Medium","Maintain")))))</x:f>
        <x:v>Unscored</x:v>
      </x:c>
      <x:c r="N53" s="132"/>
      <x:c r="O53" s="133"/>
      <x:c r="P53" s="134"/>
      <x:c r="Q53" s="131"/>
    </x:row>
    <x:row r="54" ht="48" customHeight="1">
      <x:c r="A54" s="123" t="str">
        <x:v>S049</x:v>
      </x:c>
      <x:c r="B54" s="123" t="str">
        <x:v>5 Finance &amp; People</x:v>
      </x:c>
      <x:c r="C54" s="123" t="str">
        <x:v>Paid Staff</x:v>
      </x:c>
      <x:c r="D54" s="123" t="n">
        <x:v>3</x:v>
      </x:c>
      <x:c r="E54" s="123" t="str">
        <x:v>No</x:v>
      </x:c>
      <x:c r="F54" s="123" t="str">
        <x:f>IF('Profile'!$B$16="Yes","Yes","No")</x:f>
        <x:v>Yes</x:v>
      </x:c>
      <x:c r="G54" s="124" t="str">
        <x:v>Leadership reviews retention, workload, pay equity, development, and single-person dependencies.</x:v>
      </x:c>
      <x:c r="H54" s="124" t="str">
        <x:v>Three annual workforce reviews; mitigation plan</x:v>
      </x:c>
      <x:c r="I54" s="130"/>
      <x:c r="J54" s="131"/>
      <x:c r="K54" s="124" t="str">
        <x:f>IF(F54="No","N/A",IF(J54&lt;&gt;"","Yes","No"))</x:f>
        <x:v>No</x:v>
      </x:c>
      <x:c r="L54" s="124" t="str">
        <x:f>IF(OR(F54="No",I54=""),"",MAX(0,D54-I54))</x:f>
      </x:c>
      <x:c r="M54" s="124" t="str">
        <x:f>IF(F54="No","N/A",IF(I54="","Unscored",IF(AND(E54="Yes",I54&lt;D54),"Urgent",IF(L54&gt;0,"High",IF(K54="No","Medium","Maintain")))))</x:f>
        <x:v>Unscored</x:v>
      </x:c>
      <x:c r="N54" s="132"/>
      <x:c r="O54" s="133"/>
      <x:c r="P54" s="134"/>
      <x:c r="Q54" s="131"/>
    </x:row>
    <x:row r="55" ht="48" customHeight="1">
      <x:c r="A55" s="123" t="str">
        <x:v>S050</x:v>
      </x:c>
      <x:c r="B55" s="123" t="str">
        <x:v>5 Finance &amp; People</x:v>
      </x:c>
      <x:c r="C55" s="123" t="str">
        <x:v>Volunteer Operations</x:v>
      </x:c>
      <x:c r="D55" s="123" t="n">
        <x:v>1</x:v>
      </x:c>
      <x:c r="E55" s="123" t="str">
        <x:v>Yes</x:v>
      </x:c>
      <x:c r="F55" s="123" t="str">
        <x:f>IF('Profile'!$B$17="Yes","Yes","No")</x:f>
        <x:v>No</x:v>
      </x:c>
      <x:c r="G55" s="124" t="str">
        <x:v>Volunteer leads have defined roles, authority, contacts, and required safety qualifications.</x:v>
      </x:c>
      <x:c r="H55" s="124" t="str">
        <x:v>Lead roster; role descriptions; training records</x:v>
      </x:c>
      <x:c r="I55" s="130"/>
      <x:c r="J55" s="131"/>
      <x:c r="K55" s="124" t="str">
        <x:f>IF(F55="No","N/A",IF(J55&lt;&gt;"","Yes","No"))</x:f>
        <x:v>N/A</x:v>
      </x:c>
      <x:c r="L55" s="124" t="str">
        <x:f>IF(OR(F55="No",I55=""),"",MAX(0,D55-I55))</x:f>
      </x:c>
      <x:c r="M55" s="124" t="str">
        <x:f>IF(F55="No","N/A",IF(I55="","Unscored",IF(AND(E55="Yes",I55&lt;D55),"Urgent",IF(L55&gt;0,"High",IF(K55="No","Medium","Maintain")))))</x:f>
        <x:v>N/A</x:v>
      </x:c>
      <x:c r="N55" s="132"/>
      <x:c r="O55" s="133"/>
      <x:c r="P55" s="134"/>
      <x:c r="Q55" s="131"/>
    </x:row>
    <x:row r="56" ht="48" customHeight="1">
      <x:c r="A56" s="123" t="str">
        <x:v>S051</x:v>
      </x:c>
      <x:c r="B56" s="123" t="str">
        <x:v>5 Finance &amp; People</x:v>
      </x:c>
      <x:c r="C56" s="123" t="str">
        <x:v>Volunteer Operations</x:v>
      </x:c>
      <x:c r="D56" s="123" t="n">
        <x:v>2</x:v>
      </x:c>
      <x:c r="E56" s="123" t="str">
        <x:v>Yes</x:v>
      </x:c>
      <x:c r="F56" s="123" t="str">
        <x:f>IF('Profile'!$B$17="Yes","Yes","No")</x:f>
        <x:v>No</x:v>
      </x:c>
      <x:c r="G56" s="124" t="str">
        <x:v>Scheduling, onboarding, supervision, complaints, removal, and escalation are documented.</x:v>
      </x:c>
      <x:c r="H56" s="124" t="str">
        <x:v>Volunteer handbook; schedules; escalation procedure</x:v>
      </x:c>
      <x:c r="I56" s="130"/>
      <x:c r="J56" s="131"/>
      <x:c r="K56" s="124" t="str">
        <x:f>IF(F56="No","N/A",IF(J56&lt;&gt;"","Yes","No"))</x:f>
        <x:v>N/A</x:v>
      </x:c>
      <x:c r="L56" s="124" t="str">
        <x:f>IF(OR(F56="No",I56=""),"",MAX(0,D56-I56))</x:f>
      </x:c>
      <x:c r="M56" s="124" t="str">
        <x:f>IF(F56="No","N/A",IF(I56="","Unscored",IF(AND(E56="Yes",I56&lt;D56),"Urgent",IF(L56&gt;0,"High",IF(K56="No","Medium","Maintain")))))</x:f>
        <x:v>N/A</x:v>
      </x:c>
      <x:c r="N56" s="132"/>
      <x:c r="O56" s="133"/>
      <x:c r="P56" s="134"/>
      <x:c r="Q56" s="131"/>
    </x:row>
    <x:row r="57" ht="48" customHeight="1">
      <x:c r="A57" s="123" t="str">
        <x:v>S052</x:v>
      </x:c>
      <x:c r="B57" s="123" t="str">
        <x:v>5 Finance &amp; People</x:v>
      </x:c>
      <x:c r="C57" s="123" t="str">
        <x:v>Volunteer Operations</x:v>
      </x:c>
      <x:c r="D57" s="123" t="n">
        <x:v>2</x:v>
      </x:c>
      <x:c r="E57" s="123" t="str">
        <x:v>No</x:v>
      </x:c>
      <x:c r="F57" s="123" t="str">
        <x:f>IF('Profile'!$B$17="Yes","Yes","No")</x:f>
        <x:v>No</x:v>
      </x:c>
      <x:c r="G57" s="124" t="str">
        <x:v>Critical responsibilities have backup coverage and transitions do not depend on one volunteer.</x:v>
      </x:c>
      <x:c r="H57" s="124" t="str">
        <x:v>Coverage matrix; handoff documentation</x:v>
      </x:c>
      <x:c r="I57" s="130"/>
      <x:c r="J57" s="131"/>
      <x:c r="K57" s="124" t="str">
        <x:f>IF(F57="No","N/A",IF(J57&lt;&gt;"","Yes","No"))</x:f>
        <x:v>N/A</x:v>
      </x:c>
      <x:c r="L57" s="124" t="str">
        <x:f>IF(OR(F57="No",I57=""),"",MAX(0,D57-I57))</x:f>
      </x:c>
      <x:c r="M57" s="124" t="str">
        <x:f>IF(F57="No","N/A",IF(I57="","Unscored",IF(AND(E57="Yes",I57&lt;D57),"Urgent",IF(L57&gt;0,"High",IF(K57="No","Medium","Maintain")))))</x:f>
        <x:v>N/A</x:v>
      </x:c>
      <x:c r="N57" s="132"/>
      <x:c r="O57" s="133"/>
      <x:c r="P57" s="134"/>
      <x:c r="Q57" s="131"/>
    </x:row>
    <x:row r="58" ht="48" customHeight="1">
      <x:c r="A58" s="123" t="str">
        <x:v>S053</x:v>
      </x:c>
      <x:c r="B58" s="123" t="str">
        <x:v>5 Finance &amp; People</x:v>
      </x:c>
      <x:c r="C58" s="123" t="str">
        <x:v>Volunteer Operations</x:v>
      </x:c>
      <x:c r="D58" s="123" t="n">
        <x:v>3</x:v>
      </x:c>
      <x:c r="E58" s="123" t="str">
        <x:v>No</x:v>
      </x:c>
      <x:c r="F58" s="123" t="str">
        <x:f>IF('Profile'!$B$17="Yes","Yes","No")</x:f>
        <x:v>No</x:v>
      </x:c>
      <x:c r="G58" s="124" t="str">
        <x:v>Leadership annually reviews workload, retention, recognition, burnout risk, and succession.</x:v>
      </x:c>
      <x:c r="H58" s="124" t="str">
        <x:v>Three annual reviews; improvement actions</x:v>
      </x:c>
      <x:c r="I58" s="130"/>
      <x:c r="J58" s="131"/>
      <x:c r="K58" s="124" t="str">
        <x:f>IF(F58="No","N/A",IF(J58&lt;&gt;"","Yes","No"))</x:f>
        <x:v>N/A</x:v>
      </x:c>
      <x:c r="L58" s="124" t="str">
        <x:f>IF(OR(F58="No",I58=""),"",MAX(0,D58-I58))</x:f>
      </x:c>
      <x:c r="M58" s="124" t="str">
        <x:f>IF(F58="No","N/A",IF(I58="","Unscored",IF(AND(E58="Yes",I58&lt;D58),"Urgent",IF(L58&gt;0,"High",IF(K58="No","Medium","Maintain")))))</x:f>
        <x:v>N/A</x:v>
      </x:c>
      <x:c r="N58" s="132"/>
      <x:c r="O58" s="133"/>
      <x:c r="P58" s="134"/>
      <x:c r="Q58" s="131"/>
    </x:row>
    <x:row r="59" ht="48" customHeight="1">
      <x:c r="A59" s="123" t="str">
        <x:v>S054</x:v>
      </x:c>
      <x:c r="B59" s="123" t="str">
        <x:v>6 Community &amp; Impact</x:v>
      </x:c>
      <x:c r="C59" s="123" t="str">
        <x:v>Core</x:v>
      </x:c>
      <x:c r="D59" s="123" t="n">
        <x:v>1</x:v>
      </x:c>
      <x:c r="E59" s="123" t="str">
        <x:v>No</x:v>
      </x:c>
      <x:c r="F59" s="123" t="str">
        <x:f>"Yes"</x:f>
        <x:v>Yes</x:v>
      </x:c>
      <x:c r="G59" s="124" t="str">
        <x:v>Organization tracks who participates, what they use, and basic program attendance.</x:v>
      </x:c>
      <x:c r="H59" s="124" t="str">
        <x:v>Membership/visitor and attendance reports</x:v>
      </x:c>
      <x:c r="I59" s="130"/>
      <x:c r="J59" s="131"/>
      <x:c r="K59" s="124" t="str">
        <x:f>IF(F59="No","N/A",IF(J59&lt;&gt;"","Yes","No"))</x:f>
        <x:v>No</x:v>
      </x:c>
      <x:c r="L59" s="124" t="str">
        <x:f>IF(OR(F59="No",I59=""),"",MAX(0,D59-I59))</x:f>
      </x:c>
      <x:c r="M59" s="124" t="str">
        <x:f>IF(F59="No","N/A",IF(I59="","Unscored",IF(AND(E59="Yes",I59&lt;D59),"Urgent",IF(L59&gt;0,"High",IF(K59="No","Medium","Maintain")))))</x:f>
        <x:v>Unscored</x:v>
      </x:c>
      <x:c r="N59" s="132"/>
      <x:c r="O59" s="133"/>
      <x:c r="P59" s="134"/>
      <x:c r="Q59" s="131"/>
    </x:row>
    <x:row r="60" ht="48" customHeight="1">
      <x:c r="A60" s="123" t="str">
        <x:v>S055</x:v>
      </x:c>
      <x:c r="B60" s="123" t="str">
        <x:v>6 Community &amp; Impact</x:v>
      </x:c>
      <x:c r="C60" s="123" t="str">
        <x:v>Core</x:v>
      </x:c>
      <x:c r="D60" s="123" t="n">
        <x:v>1</x:v>
      </x:c>
      <x:c r="E60" s="123" t="str">
        <x:v>Yes</x:v>
      </x:c>
      <x:c r="F60" s="123" t="str">
        <x:f>"Yes"</x:f>
        <x:v>Yes</x:v>
      </x:c>
      <x:c r="G60" s="124" t="str">
        <x:v>Nondiscrimination, accessibility, and inclusion expectations apply to users, staff, volunteers, and programs.</x:v>
      </x:c>
      <x:c r="H60" s="124" t="str">
        <x:v>Policies; accommodation procedure; training</x:v>
      </x:c>
      <x:c r="I60" s="130"/>
      <x:c r="J60" s="131"/>
      <x:c r="K60" s="124" t="str">
        <x:f>IF(F60="No","N/A",IF(J60&lt;&gt;"","Yes","No"))</x:f>
        <x:v>No</x:v>
      </x:c>
      <x:c r="L60" s="124" t="str">
        <x:f>IF(OR(F60="No",I60=""),"",MAX(0,D60-I60))</x:f>
      </x:c>
      <x:c r="M60" s="124" t="str">
        <x:f>IF(F60="No","N/A",IF(I60="","Unscored",IF(AND(E60="Yes",I60&lt;D60),"Urgent",IF(L60&gt;0,"High",IF(K60="No","Medium","Maintain")))))</x:f>
        <x:v>Unscored</x:v>
      </x:c>
      <x:c r="N60" s="132"/>
      <x:c r="O60" s="133"/>
      <x:c r="P60" s="134"/>
      <x:c r="Q60" s="131"/>
    </x:row>
    <x:row r="61" ht="48" customHeight="1">
      <x:c r="A61" s="123" t="str">
        <x:v>S056</x:v>
      </x:c>
      <x:c r="B61" s="123" t="str">
        <x:v>6 Community &amp; Impact</x:v>
      </x:c>
      <x:c r="C61" s="123" t="str">
        <x:v>Core</x:v>
      </x:c>
      <x:c r="D61" s="123" t="n">
        <x:v>2</x:v>
      </x:c>
      <x:c r="E61" s="123" t="str">
        <x:v>No</x:v>
      </x:c>
      <x:c r="F61" s="123" t="str">
        <x:f>"Yes"</x:f>
        <x:v>Yes</x:v>
      </x:c>
      <x:c r="G61" s="124" t="str">
        <x:v>Measurable annual goals connect activities to participant learning, agency, belonging, or opportunity.</x:v>
      </x:c>
      <x:c r="H61" s="124" t="str">
        <x:v>Outcomes framework; annual targets</x:v>
      </x:c>
      <x:c r="I61" s="130"/>
      <x:c r="J61" s="131"/>
      <x:c r="K61" s="124" t="str">
        <x:f>IF(F61="No","N/A",IF(J61&lt;&gt;"","Yes","No"))</x:f>
        <x:v>No</x:v>
      </x:c>
      <x:c r="L61" s="124" t="str">
        <x:f>IF(OR(F61="No",I61=""),"",MAX(0,D61-I61))</x:f>
      </x:c>
      <x:c r="M61" s="124" t="str">
        <x:f>IF(F61="No","N/A",IF(I61="","Unscored",IF(AND(E61="Yes",I61&lt;D61),"Urgent",IF(L61&gt;0,"High",IF(K61="No","Medium","Maintain")))))</x:f>
        <x:v>Unscored</x:v>
      </x:c>
      <x:c r="N61" s="132"/>
      <x:c r="O61" s="133"/>
      <x:c r="P61" s="134"/>
      <x:c r="Q61" s="131"/>
    </x:row>
    <x:row r="62" ht="48" customHeight="1">
      <x:c r="A62" s="123" t="str">
        <x:v>S057</x:v>
      </x:c>
      <x:c r="B62" s="123" t="str">
        <x:v>6 Community &amp; Impact</x:v>
      </x:c>
      <x:c r="C62" s="123" t="str">
        <x:v>Core</x:v>
      </x:c>
      <x:c r="D62" s="123" t="n">
        <x:v>2</x:v>
      </x:c>
      <x:c r="E62" s="123" t="str">
        <x:v>No</x:v>
      </x:c>
      <x:c r="F62" s="123" t="str">
        <x:f>"Yes"</x:f>
        <x:v>Yes</x:v>
      </x:c>
      <x:c r="G62" s="124" t="str">
        <x:v>Participant feedback is collected safely and reviewed with usage and demographic information.</x:v>
      </x:c>
      <x:c r="H62" s="124" t="str">
        <x:v>Survey tools; results; leadership review</x:v>
      </x:c>
      <x:c r="I62" s="130"/>
      <x:c r="J62" s="131"/>
      <x:c r="K62" s="124" t="str">
        <x:f>IF(F62="No","N/A",IF(J62&lt;&gt;"","Yes","No"))</x:f>
        <x:v>No</x:v>
      </x:c>
      <x:c r="L62" s="124" t="str">
        <x:f>IF(OR(F62="No",I62=""),"",MAX(0,D62-I62))</x:f>
      </x:c>
      <x:c r="M62" s="124" t="str">
        <x:f>IF(F62="No","N/A",IF(I62="","Unscored",IF(AND(E62="Yes",I62&lt;D62),"Urgent",IF(L62&gt;0,"High",IF(K62="No","Medium","Maintain")))))</x:f>
        <x:v>Unscored</x:v>
      </x:c>
      <x:c r="N62" s="132"/>
      <x:c r="O62" s="133"/>
      <x:c r="P62" s="134"/>
      <x:c r="Q62" s="131"/>
    </x:row>
    <x:row r="63" ht="48" customHeight="1">
      <x:c r="A63" s="123" t="str">
        <x:v>S058</x:v>
      </x:c>
      <x:c r="B63" s="123" t="str">
        <x:v>6 Community &amp; Impact</x:v>
      </x:c>
      <x:c r="C63" s="123" t="str">
        <x:v>Core</x:v>
      </x:c>
      <x:c r="D63" s="123" t="n">
        <x:v>2</x:v>
      </x:c>
      <x:c r="E63" s="123" t="str">
        <x:v>No</x:v>
      </x:c>
      <x:c r="F63" s="123" t="str">
        <x:f>"Yes"</x:f>
        <x:v>Yes</x:v>
      </x:c>
      <x:c r="G63" s="124" t="str">
        <x:v>Instruction supports choice, iteration, peer learning, and multiple ways to participate and demonstrate learning.</x:v>
      </x:c>
      <x:c r="H63" s="124" t="str">
        <x:v>Facilitation guide; observation rubric; instructor training</x:v>
      </x:c>
      <x:c r="I63" s="130"/>
      <x:c r="J63" s="131"/>
      <x:c r="K63" s="124" t="str">
        <x:f>IF(F63="No","N/A",IF(J63&lt;&gt;"","Yes","No"))</x:f>
        <x:v>No</x:v>
      </x:c>
      <x:c r="L63" s="124" t="str">
        <x:f>IF(OR(F63="No",I63=""),"",MAX(0,D63-I63))</x:f>
      </x:c>
      <x:c r="M63" s="124" t="str">
        <x:f>IF(F63="No","N/A",IF(I63="","Unscored",IF(AND(E63="Yes",I63&lt;D63),"Urgent",IF(L63&gt;0,"High",IF(K63="No","Medium","Maintain")))))</x:f>
        <x:v>Unscored</x:v>
      </x:c>
      <x:c r="N63" s="132"/>
      <x:c r="O63" s="133"/>
      <x:c r="P63" s="134"/>
      <x:c r="Q63" s="131"/>
    </x:row>
    <x:row r="64" ht="48" customHeight="1">
      <x:c r="A64" s="123" t="str">
        <x:v>S059</x:v>
      </x:c>
      <x:c r="B64" s="123" t="str">
        <x:v>6 Community &amp; Impact</x:v>
      </x:c>
      <x:c r="C64" s="123" t="str">
        <x:v>Core</x:v>
      </x:c>
      <x:c r="D64" s="123" t="n">
        <x:v>2</x:v>
      </x:c>
      <x:c r="E64" s="123" t="str">
        <x:v>No</x:v>
      </x:c>
      <x:c r="F64" s="123" t="str">
        <x:f>"Yes"</x:f>
        <x:v>Yes</x:v>
      </x:c>
      <x:c r="G64" s="124" t="str">
        <x:v>Community partnerships have clear purposes, responsibilities, and mutual benefit.</x:v>
      </x:c>
      <x:c r="H64" s="124" t="str">
        <x:v>MOUs; partner list; review notes</x:v>
      </x:c>
      <x:c r="I64" s="130"/>
      <x:c r="J64" s="131"/>
      <x:c r="K64" s="124" t="str">
        <x:f>IF(F64="No","N/A",IF(J64&lt;&gt;"","Yes","No"))</x:f>
        <x:v>No</x:v>
      </x:c>
      <x:c r="L64" s="124" t="str">
        <x:f>IF(OR(F64="No",I64=""),"",MAX(0,D64-I64))</x:f>
      </x:c>
      <x:c r="M64" s="124" t="str">
        <x:f>IF(F64="No","N/A",IF(I64="","Unscored",IF(AND(E64="Yes",I64&lt;D64),"Urgent",IF(L64&gt;0,"High",IF(K64="No","Medium","Maintain")))))</x:f>
        <x:v>Unscored</x:v>
      </x:c>
      <x:c r="N64" s="132"/>
      <x:c r="O64" s="133"/>
      <x:c r="P64" s="134"/>
      <x:c r="Q64" s="131"/>
    </x:row>
    <x:row r="65" ht="48" customHeight="1">
      <x:c r="A65" s="123" t="str">
        <x:v>S060</x:v>
      </x:c>
      <x:c r="B65" s="123" t="str">
        <x:v>6 Community &amp; Impact</x:v>
      </x:c>
      <x:c r="C65" s="123" t="str">
        <x:v>Core</x:v>
      </x:c>
      <x:c r="D65" s="123" t="n">
        <x:v>3</x:v>
      </x:c>
      <x:c r="E65" s="123" t="str">
        <x:v>No</x:v>
      </x:c>
      <x:c r="F65" s="123" t="str">
        <x:f>"Yes"</x:f>
        <x:v>Yes</x:v>
      </x:c>
      <x:c r="G65" s="124" t="str">
        <x:v>A public annual report summarizes finances, participation, outcomes, setbacks, and improvement commitments.</x:v>
      </x:c>
      <x:c r="H65" s="124" t="str">
        <x:v>Three annual reports</x:v>
      </x:c>
      <x:c r="I65" s="130"/>
      <x:c r="J65" s="131"/>
      <x:c r="K65" s="124" t="str">
        <x:f>IF(F65="No","N/A",IF(J65&lt;&gt;"","Yes","No"))</x:f>
        <x:v>No</x:v>
      </x:c>
      <x:c r="L65" s="124" t="str">
        <x:f>IF(OR(F65="No",I65=""),"",MAX(0,D65-I65))</x:f>
      </x:c>
      <x:c r="M65" s="124" t="str">
        <x:f>IF(F65="No","N/A",IF(I65="","Unscored",IF(AND(E65="Yes",I65&lt;D65),"Urgent",IF(L65&gt;0,"High",IF(K65="No","Medium","Maintain")))))</x:f>
        <x:v>Unscored</x:v>
      </x:c>
      <x:c r="N65" s="132"/>
      <x:c r="O65" s="133"/>
      <x:c r="P65" s="134"/>
      <x:c r="Q65" s="131"/>
    </x:row>
    <x:row r="66" ht="48" customHeight="1">
      <x:c r="A66" s="123" t="str">
        <x:v>S061</x:v>
      </x:c>
      <x:c r="B66" s="123" t="str">
        <x:v>6 Community &amp; Impact</x:v>
      </x:c>
      <x:c r="C66" s="123" t="str">
        <x:v>Core</x:v>
      </x:c>
      <x:c r="D66" s="123" t="n">
        <x:v>3</x:v>
      </x:c>
      <x:c r="E66" s="123" t="str">
        <x:v>No</x:v>
      </x:c>
      <x:c r="F66" s="123" t="str">
        <x:f>"Yes"</x:f>
        <x:v>Yes</x:v>
      </x:c>
      <x:c r="G66" s="124" t="str">
        <x:v>Evaluation findings demonstrably influence program design, outreach, staffing, and capital decisions.</x:v>
      </x:c>
      <x:c r="H66" s="124" t="str">
        <x:v>Three-year decision/change log</x:v>
      </x:c>
      <x:c r="I66" s="130"/>
      <x:c r="J66" s="131"/>
      <x:c r="K66" s="124" t="str">
        <x:f>IF(F66="No","N/A",IF(J66&lt;&gt;"","Yes","No"))</x:f>
        <x:v>No</x:v>
      </x:c>
      <x:c r="L66" s="124" t="str">
        <x:f>IF(OR(F66="No",I66=""),"",MAX(0,D66-I66))</x:f>
      </x:c>
      <x:c r="M66" s="124" t="str">
        <x:f>IF(F66="No","N/A",IF(I66="","Unscored",IF(AND(E66="Yes",I66&lt;D66),"Urgent",IF(L66&gt;0,"High",IF(K66="No","Medium","Maintain")))))</x:f>
        <x:v>Unscored</x:v>
      </x:c>
      <x:c r="N66" s="132"/>
      <x:c r="O66" s="133"/>
      <x:c r="P66" s="134"/>
      <x:c r="Q66" s="131"/>
    </x:row>
    <x:row r="67" ht="48" customHeight="1">
      <x:c r="A67" s="123" t="str">
        <x:v>S062</x:v>
      </x:c>
      <x:c r="B67" s="123" t="str">
        <x:v>A Tool Lending</x:v>
      </x:c>
      <x:c r="C67" s="123" t="str">
        <x:v>Tool Lending</x:v>
      </x:c>
      <x:c r="D67" s="123" t="n">
        <x:v>1</x:v>
      </x:c>
      <x:c r="E67" s="123" t="str">
        <x:v>Yes</x:v>
      </x:c>
      <x:c r="F67" s="123" t="str">
        <x:f>IF('Profile'!$B$18="Yes","Yes","No")</x:f>
        <x:v>No</x:v>
      </x:c>
      <x:c r="G67" s="124" t="str">
        <x:v>Each circulating tool is uniquely identified and checked out to a verified borrower.</x:v>
      </x:c>
      <x:c r="H67" s="124" t="str">
        <x:v>Catalog; checkout records</x:v>
      </x:c>
      <x:c r="I67" s="130"/>
      <x:c r="J67" s="131"/>
      <x:c r="K67" s="124" t="str">
        <x:f>IF(F67="No","N/A",IF(J67&lt;&gt;"","Yes","No"))</x:f>
        <x:v>N/A</x:v>
      </x:c>
      <x:c r="L67" s="124" t="str">
        <x:f>IF(OR(F67="No",I67=""),"",MAX(0,D67-I67))</x:f>
      </x:c>
      <x:c r="M67" s="124" t="str">
        <x:f>IF(F67="No","N/A",IF(I67="","Unscored",IF(AND(E67="Yes",I67&lt;D67),"Urgent",IF(L67&gt;0,"High",IF(K67="No","Medium","Maintain")))))</x:f>
        <x:v>N/A</x:v>
      </x:c>
      <x:c r="N67" s="132"/>
      <x:c r="O67" s="133"/>
      <x:c r="P67" s="134"/>
      <x:c r="Q67" s="131"/>
    </x:row>
    <x:row r="68" ht="48" customHeight="1">
      <x:c r="A68" s="123" t="str">
        <x:v>S063</x:v>
      </x:c>
      <x:c r="B68" s="123" t="str">
        <x:v>A Tool Lending</x:v>
      </x:c>
      <x:c r="C68" s="123" t="str">
        <x:v>Tool Lending</x:v>
      </x:c>
      <x:c r="D68" s="123" t="n">
        <x:v>2</x:v>
      </x:c>
      <x:c r="E68" s="123" t="str">
        <x:v>Yes</x:v>
      </x:c>
      <x:c r="F68" s="123" t="str">
        <x:f>IF('Profile'!$B$18="Yes","Yes","No")</x:f>
        <x:v>No</x:v>
      </x:c>
      <x:c r="G68" s="124" t="str">
        <x:v>Loan agreement, due dates, condition, accessories, loss, and safe-use limits are documented.</x:v>
      </x:c>
      <x:c r="H68" s="124" t="str">
        <x:v>Agreement; checkout checklist</x:v>
      </x:c>
      <x:c r="I68" s="130"/>
      <x:c r="J68" s="131"/>
      <x:c r="K68" s="124" t="str">
        <x:f>IF(F68="No","N/A",IF(J68&lt;&gt;"","Yes","No"))</x:f>
        <x:v>N/A</x:v>
      </x:c>
      <x:c r="L68" s="124" t="str">
        <x:f>IF(OR(F68="No",I68=""),"",MAX(0,D68-I68))</x:f>
      </x:c>
      <x:c r="M68" s="124" t="str">
        <x:f>IF(F68="No","N/A",IF(I68="","Unscored",IF(AND(E68="Yes",I68&lt;D68),"Urgent",IF(L68&gt;0,"High",IF(K68="No","Medium","Maintain")))))</x:f>
        <x:v>N/A</x:v>
      </x:c>
      <x:c r="N68" s="132"/>
      <x:c r="O68" s="133"/>
      <x:c r="P68" s="134"/>
      <x:c r="Q68" s="131"/>
    </x:row>
    <x:row r="69" ht="48" customHeight="1">
      <x:c r="A69" s="123" t="str">
        <x:v>S064</x:v>
      </x:c>
      <x:c r="B69" s="123" t="str">
        <x:v>A Tool Lending</x:v>
      </x:c>
      <x:c r="C69" s="123" t="str">
        <x:v>Tool Lending</x:v>
      </x:c>
      <x:c r="D69" s="123" t="n">
        <x:v>2</x:v>
      </x:c>
      <x:c r="E69" s="123" t="str">
        <x:v>Yes</x:v>
      </x:c>
      <x:c r="F69" s="123" t="str">
        <x:f>IF('Profile'!$B$18="Yes","Yes","No")</x:f>
        <x:v>No</x:v>
      </x:c>
      <x:c r="G69" s="124" t="str">
        <x:v>Returned powered tools receive documented functional and electrical inspection before recirculation.</x:v>
      </x:c>
      <x:c r="H69" s="124" t="str">
        <x:v>Return inspection logs</x:v>
      </x:c>
      <x:c r="I69" s="130"/>
      <x:c r="J69" s="131"/>
      <x:c r="K69" s="124" t="str">
        <x:f>IF(F69="No","N/A",IF(J69&lt;&gt;"","Yes","No"))</x:f>
        <x:v>N/A</x:v>
      </x:c>
      <x:c r="L69" s="124" t="str">
        <x:f>IF(OR(F69="No",I69=""),"",MAX(0,D69-I69))</x:f>
      </x:c>
      <x:c r="M69" s="124" t="str">
        <x:f>IF(F69="No","N/A",IF(I69="","Unscored",IF(AND(E69="Yes",I69&lt;D69),"Urgent",IF(L69&gt;0,"High",IF(K69="No","Medium","Maintain")))))</x:f>
        <x:v>N/A</x:v>
      </x:c>
      <x:c r="N69" s="132"/>
      <x:c r="O69" s="133"/>
      <x:c r="P69" s="134"/>
      <x:c r="Q69" s="131"/>
    </x:row>
    <x:row r="70" ht="48" customHeight="1">
      <x:c r="A70" s="123" t="str">
        <x:v>S065</x:v>
      </x:c>
      <x:c r="B70" s="123" t="str">
        <x:v>A Tool Lending</x:v>
      </x:c>
      <x:c r="C70" s="123" t="str">
        <x:v>Tool Lending</x:v>
      </x:c>
      <x:c r="D70" s="123" t="n">
        <x:v>3</x:v>
      </x:c>
      <x:c r="E70" s="123" t="str">
        <x:v>No</x:v>
      </x:c>
      <x:c r="F70" s="123" t="str">
        <x:f>IF('Profile'!$B$18="Yes","Yes","No")</x:f>
        <x:v>No</x:v>
      </x:c>
      <x:c r="G70" s="124" t="str">
        <x:v>Loss, damage, late return, utilization, and maintenance trends inform inventory decisions.</x:v>
      </x:c>
      <x:c r="H70" s="124" t="str">
        <x:v>Three annual lending analyses</x:v>
      </x:c>
      <x:c r="I70" s="130"/>
      <x:c r="J70" s="131"/>
      <x:c r="K70" s="124" t="str">
        <x:f>IF(F70="No","N/A",IF(J70&lt;&gt;"","Yes","No"))</x:f>
        <x:v>N/A</x:v>
      </x:c>
      <x:c r="L70" s="124" t="str">
        <x:f>IF(OR(F70="No",I70=""),"",MAX(0,D70-I70))</x:f>
      </x:c>
      <x:c r="M70" s="124" t="str">
        <x:f>IF(F70="No","N/A",IF(I70="","Unscored",IF(AND(E70="Yes",I70&lt;D70),"Urgent",IF(L70&gt;0,"High",IF(K70="No","Medium","Maintain")))))</x:f>
        <x:v>N/A</x:v>
      </x:c>
      <x:c r="N70" s="132"/>
      <x:c r="O70" s="133"/>
      <x:c r="P70" s="134"/>
      <x:c r="Q70" s="131"/>
    </x:row>
    <x:row r="71" ht="48" customHeight="1">
      <x:c r="A71" s="123" t="str">
        <x:v>S066</x:v>
      </x:c>
      <x:c r="B71" s="123" t="str">
        <x:v>B Youth</x:v>
      </x:c>
      <x:c r="C71" s="123" t="str">
        <x:v>Youth</x:v>
      </x:c>
      <x:c r="D71" s="123" t="n">
        <x:v>1</x:v>
      </x:c>
      <x:c r="E71" s="123" t="str">
        <x:v>Yes</x:v>
      </x:c>
      <x:c r="F71" s="123" t="str">
        <x:f>IF('Profile'!$B$19="Yes","Yes","No")</x:f>
        <x:v>No</x:v>
      </x:c>
      <x:c r="G71" s="124" t="str">
        <x:v>Parent/guardian consent, emergency contacts, supervision, and authorized pickup rules are enforced.</x:v>
      </x:c>
      <x:c r="H71" s="124" t="str">
        <x:v>Forms; procedures; roster samples</x:v>
      </x:c>
      <x:c r="I71" s="130"/>
      <x:c r="J71" s="131"/>
      <x:c r="K71" s="124" t="str">
        <x:f>IF(F71="No","N/A",IF(J71&lt;&gt;"","Yes","No"))</x:f>
        <x:v>N/A</x:v>
      </x:c>
      <x:c r="L71" s="124" t="str">
        <x:f>IF(OR(F71="No",I71=""),"",MAX(0,D71-I71))</x:f>
      </x:c>
      <x:c r="M71" s="124" t="str">
        <x:f>IF(F71="No","N/A",IF(I71="","Unscored",IF(AND(E71="Yes",I71&lt;D71),"Urgent",IF(L71&gt;0,"High",IF(K71="No","Medium","Maintain")))))</x:f>
        <x:v>N/A</x:v>
      </x:c>
      <x:c r="N71" s="132"/>
      <x:c r="O71" s="133"/>
      <x:c r="P71" s="134"/>
      <x:c r="Q71" s="131"/>
    </x:row>
    <x:row r="72" ht="48" customHeight="1">
      <x:c r="A72" s="123" t="str">
        <x:v>S067</x:v>
      </x:c>
      <x:c r="B72" s="123" t="str">
        <x:v>B Youth</x:v>
      </x:c>
      <x:c r="C72" s="123" t="str">
        <x:v>Youth</x:v>
      </x:c>
      <x:c r="D72" s="123" t="n">
        <x:v>1</x:v>
      </x:c>
      <x:c r="E72" s="123" t="str">
        <x:v>Yes</x:v>
      </x:c>
      <x:c r="F72" s="123" t="str">
        <x:f>IF('Profile'!$B$19="Yes","Yes","No")</x:f>
        <x:v>No</x:v>
      </x:c>
      <x:c r="G72" s="124" t="str">
        <x:v>Age and capability rules prohibit or control youth access to hazardous equipment.</x:v>
      </x:c>
      <x:c r="H72" s="124" t="str">
        <x:v>Age/hazard matrix; curriculum rules</x:v>
      </x:c>
      <x:c r="I72" s="130"/>
      <x:c r="J72" s="131"/>
      <x:c r="K72" s="124" t="str">
        <x:f>IF(F72="No","N/A",IF(J72&lt;&gt;"","Yes","No"))</x:f>
        <x:v>N/A</x:v>
      </x:c>
      <x:c r="L72" s="124" t="str">
        <x:f>IF(OR(F72="No",I72=""),"",MAX(0,D72-I72))</x:f>
      </x:c>
      <x:c r="M72" s="124" t="str">
        <x:f>IF(F72="No","N/A",IF(I72="","Unscored",IF(AND(E72="Yes",I72&lt;D72),"Urgent",IF(L72&gt;0,"High",IF(K72="No","Medium","Maintain")))))</x:f>
        <x:v>N/A</x:v>
      </x:c>
      <x:c r="N72" s="132"/>
      <x:c r="O72" s="133"/>
      <x:c r="P72" s="134"/>
      <x:c r="Q72" s="131"/>
    </x:row>
    <x:row r="73" ht="48" customHeight="1">
      <x:c r="A73" s="123" t="str">
        <x:v>S068</x:v>
      </x:c>
      <x:c r="B73" s="123" t="str">
        <x:v>B Youth</x:v>
      </x:c>
      <x:c r="C73" s="123" t="str">
        <x:v>Youth</x:v>
      </x:c>
      <x:c r="D73" s="123" t="n">
        <x:v>2</x:v>
      </x:c>
      <x:c r="E73" s="123" t="str">
        <x:v>Yes</x:v>
      </x:c>
      <x:c r="F73" s="123" t="str">
        <x:f>IF('Profile'!$B$19="Yes","Yes","No")</x:f>
        <x:v>No</x:v>
      </x:c>
      <x:c r="G73" s="124" t="str">
        <x:v>Background screening and youth-protection training apply to all covered adults before service.</x:v>
      </x:c>
      <x:c r="H73" s="124" t="str">
        <x:v>Screening roster; training records</x:v>
      </x:c>
      <x:c r="I73" s="130"/>
      <x:c r="J73" s="131"/>
      <x:c r="K73" s="124" t="str">
        <x:f>IF(F73="No","N/A",IF(J73&lt;&gt;"","Yes","No"))</x:f>
        <x:v>N/A</x:v>
      </x:c>
      <x:c r="L73" s="124" t="str">
        <x:f>IF(OR(F73="No",I73=""),"",MAX(0,D73-I73))</x:f>
      </x:c>
      <x:c r="M73" s="124" t="str">
        <x:f>IF(F73="No","N/A",IF(I73="","Unscored",IF(AND(E73="Yes",I73&lt;D73),"Urgent",IF(L73&gt;0,"High",IF(K73="No","Medium","Maintain")))))</x:f>
        <x:v>N/A</x:v>
      </x:c>
      <x:c r="N73" s="132"/>
      <x:c r="O73" s="133"/>
      <x:c r="P73" s="134"/>
      <x:c r="Q73" s="131"/>
    </x:row>
    <x:row r="74" ht="48" customHeight="1">
      <x:c r="A74" s="123" t="str">
        <x:v>S069</x:v>
      </x:c>
      <x:c r="B74" s="123" t="str">
        <x:v>B Youth</x:v>
      </x:c>
      <x:c r="C74" s="123" t="str">
        <x:v>Youth</x:v>
      </x:c>
      <x:c r="D74" s="123" t="n">
        <x:v>2</x:v>
      </x:c>
      <x:c r="E74" s="123" t="str">
        <x:v>Yes</x:v>
      </x:c>
      <x:c r="F74" s="123" t="str">
        <x:f>IF('Profile'!$B$19="Yes","Yes","No")</x:f>
        <x:v>No</x:v>
      </x:c>
      <x:c r="G74" s="124" t="str">
        <x:v>Two-adult/open-observable practices, reporting duties, communication, and overnight/transport rules are documented as applicable.</x:v>
      </x:c>
      <x:c r="H74" s="124" t="str">
        <x:v>Youth protection policy; incident/reporting procedure</x:v>
      </x:c>
      <x:c r="I74" s="130"/>
      <x:c r="J74" s="131"/>
      <x:c r="K74" s="124" t="str">
        <x:f>IF(F74="No","N/A",IF(J74&lt;&gt;"","Yes","No"))</x:f>
        <x:v>N/A</x:v>
      </x:c>
      <x:c r="L74" s="124" t="str">
        <x:f>IF(OR(F74="No",I74=""),"",MAX(0,D74-I74))</x:f>
      </x:c>
      <x:c r="M74" s="124" t="str">
        <x:f>IF(F74="No","N/A",IF(I74="","Unscored",IF(AND(E74="Yes",I74&lt;D74),"Urgent",IF(L74&gt;0,"High",IF(K74="No","Medium","Maintain")))))</x:f>
        <x:v>N/A</x:v>
      </x:c>
      <x:c r="N74" s="132"/>
      <x:c r="O74" s="133"/>
      <x:c r="P74" s="134"/>
      <x:c r="Q74" s="131"/>
    </x:row>
    <x:row r="75" ht="48" customHeight="1">
      <x:c r="A75" s="123" t="str">
        <x:v>S070</x:v>
      </x:c>
      <x:c r="B75" s="123" t="str">
        <x:v>B Youth</x:v>
      </x:c>
      <x:c r="C75" s="123" t="str">
        <x:v>Youth</x:v>
      </x:c>
      <x:c r="D75" s="123" t="n">
        <x:v>3</x:v>
      </x:c>
      <x:c r="E75" s="123" t="str">
        <x:v>No</x:v>
      </x:c>
      <x:c r="F75" s="123" t="str">
        <x:f>IF('Profile'!$B$19="Yes","Yes","No")</x:f>
        <x:v>No</x:v>
      </x:c>
      <x:c r="G75" s="124" t="str">
        <x:v>Youth curricula and outcomes are periodically reviewed with educators, families, and participants.</x:v>
      </x:c>
      <x:c r="H75" s="124" t="str">
        <x:v>Three annual curriculum/outcome reviews</x:v>
      </x:c>
      <x:c r="I75" s="130"/>
      <x:c r="J75" s="131"/>
      <x:c r="K75" s="124" t="str">
        <x:f>IF(F75="No","N/A",IF(J75&lt;&gt;"","Yes","No"))</x:f>
        <x:v>N/A</x:v>
      </x:c>
      <x:c r="L75" s="124" t="str">
        <x:f>IF(OR(F75="No",I75=""),"",MAX(0,D75-I75))</x:f>
      </x:c>
      <x:c r="M75" s="124" t="str">
        <x:f>IF(F75="No","N/A",IF(I75="","Unscored",IF(AND(E75="Yes",I75&lt;D75),"Urgent",IF(L75&gt;0,"High",IF(K75="No","Medium","Maintain")))))</x:f>
        <x:v>N/A</x:v>
      </x:c>
      <x:c r="N75" s="132"/>
      <x:c r="O75" s="133"/>
      <x:c r="P75" s="134"/>
      <x:c r="Q75" s="131"/>
    </x:row>
    <x:row r="76" ht="48" customHeight="1">
      <x:c r="A76" s="123" t="str">
        <x:v>S071</x:v>
      </x:c>
      <x:c r="B76" s="123" t="str">
        <x:v>C Incubation</x:v>
      </x:c>
      <x:c r="C76" s="123" t="str">
        <x:v>Incubation</x:v>
      </x:c>
      <x:c r="D76" s="123" t="n">
        <x:v>1</x:v>
      </x:c>
      <x:c r="E76" s="123" t="str">
        <x:v>Yes</x:v>
      </x:c>
      <x:c r="F76" s="123" t="str">
        <x:f>IF('Profile'!$B$20="Yes","Yes","No")</x:f>
        <x:v>No</x:v>
      </x:c>
      <x:c r="G76" s="124" t="str">
        <x:v>Commercial use, production limits, shared-tool priority, staging, and prohibited activities are clear.</x:v>
      </x:c>
      <x:c r="H76" s="124" t="str">
        <x:v>Commercial use policy</x:v>
      </x:c>
      <x:c r="I76" s="130"/>
      <x:c r="J76" s="131"/>
      <x:c r="K76" s="124" t="str">
        <x:f>IF(F76="No","N/A",IF(J76&lt;&gt;"","Yes","No"))</x:f>
        <x:v>N/A</x:v>
      </x:c>
      <x:c r="L76" s="124" t="str">
        <x:f>IF(OR(F76="No",I76=""),"",MAX(0,D76-I76))</x:f>
      </x:c>
      <x:c r="M76" s="124" t="str">
        <x:f>IF(F76="No","N/A",IF(I76="","Unscored",IF(AND(E76="Yes",I76&lt;D76),"Urgent",IF(L76&gt;0,"High",IF(K76="No","Medium","Maintain")))))</x:f>
        <x:v>N/A</x:v>
      </x:c>
      <x:c r="N76" s="132"/>
      <x:c r="O76" s="133"/>
      <x:c r="P76" s="134"/>
      <x:c r="Q76" s="131"/>
    </x:row>
    <x:row r="77" ht="48" customHeight="1">
      <x:c r="A77" s="123" t="str">
        <x:v>S072</x:v>
      </x:c>
      <x:c r="B77" s="123" t="str">
        <x:v>C Incubation</x:v>
      </x:c>
      <x:c r="C77" s="123" t="str">
        <x:v>Incubation</x:v>
      </x:c>
      <x:c r="D77" s="123" t="n">
        <x:v>2</x:v>
      </x:c>
      <x:c r="E77" s="123" t="str">
        <x:v>Yes</x:v>
      </x:c>
      <x:c r="F77" s="123" t="str">
        <x:f>IF('Profile'!$B$20="Yes","Yes","No")</x:f>
        <x:v>No</x:v>
      </x:c>
      <x:c r="G77" s="124" t="str">
        <x:v>Written agreements define space, term, fees, insurance, IP, milestones, and termination.</x:v>
      </x:c>
      <x:c r="H77" s="124" t="str">
        <x:v>Executed agreements; insurance certificates</x:v>
      </x:c>
      <x:c r="I77" s="130"/>
      <x:c r="J77" s="131"/>
      <x:c r="K77" s="124" t="str">
        <x:f>IF(F77="No","N/A",IF(J77&lt;&gt;"","Yes","No"))</x:f>
        <x:v>N/A</x:v>
      </x:c>
      <x:c r="L77" s="124" t="str">
        <x:f>IF(OR(F77="No",I77=""),"",MAX(0,D77-I77))</x:f>
      </x:c>
      <x:c r="M77" s="124" t="str">
        <x:f>IF(F77="No","N/A",IF(I77="","Unscored",IF(AND(E77="Yes",I77&lt;D77),"Urgent",IF(L77&gt;0,"High",IF(K77="No","Medium","Maintain")))))</x:f>
        <x:v>N/A</x:v>
      </x:c>
      <x:c r="N77" s="132"/>
      <x:c r="O77" s="133"/>
      <x:c r="P77" s="134"/>
      <x:c r="Q77" s="131"/>
    </x:row>
    <x:row r="78" ht="48" customHeight="1">
      <x:c r="A78" s="123" t="str">
        <x:v>S073</x:v>
      </x:c>
      <x:c r="B78" s="123" t="str">
        <x:v>C Incubation</x:v>
      </x:c>
      <x:c r="C78" s="123" t="str">
        <x:v>Incubation</x:v>
      </x:c>
      <x:c r="D78" s="123" t="n">
        <x:v>2</x:v>
      </x:c>
      <x:c r="E78" s="123" t="str">
        <x:v>Yes</x:v>
      </x:c>
      <x:c r="F78" s="123" t="str">
        <x:f>IF('Profile'!$B$20="Yes","Yes","No")</x:f>
        <x:v>No</x:v>
      </x:c>
      <x:c r="G78" s="124" t="str">
        <x:v>Production activities receive documented safety, zoning, environmental, and capacity review.</x:v>
      </x:c>
      <x:c r="H78" s="124" t="str">
        <x:v>Intake/risk reviews; approvals</x:v>
      </x:c>
      <x:c r="I78" s="130"/>
      <x:c r="J78" s="131"/>
      <x:c r="K78" s="124" t="str">
        <x:f>IF(F78="No","N/A",IF(J78&lt;&gt;"","Yes","No"))</x:f>
        <x:v>N/A</x:v>
      </x:c>
      <x:c r="L78" s="124" t="str">
        <x:f>IF(OR(F78="No",I78=""),"",MAX(0,D78-I78))</x:f>
      </x:c>
      <x:c r="M78" s="124" t="str">
        <x:f>IF(F78="No","N/A",IF(I78="","Unscored",IF(AND(E78="Yes",I78&lt;D78),"Urgent",IF(L78&gt;0,"High",IF(K78="No","Medium","Maintain")))))</x:f>
        <x:v>N/A</x:v>
      </x:c>
      <x:c r="N78" s="132"/>
      <x:c r="O78" s="133"/>
      <x:c r="P78" s="134"/>
      <x:c r="Q78" s="131"/>
    </x:row>
    <x:row r="79" ht="48" customHeight="1">
      <x:c r="A79" s="123" t="str">
        <x:v>S074</x:v>
      </x:c>
      <x:c r="B79" s="123" t="str">
        <x:v>C Incubation</x:v>
      </x:c>
      <x:c r="C79" s="123" t="str">
        <x:v>Incubation</x:v>
      </x:c>
      <x:c r="D79" s="123" t="n">
        <x:v>3</x:v>
      </x:c>
      <x:c r="E79" s="123" t="str">
        <x:v>No</x:v>
      </x:c>
      <x:c r="F79" s="123" t="str">
        <x:f>IF('Profile'!$B$20="Yes","Yes","No")</x:f>
        <x:v>No</x:v>
      </x:c>
      <x:c r="G79" s="124" t="str">
        <x:v>Program outcomes and community subsidy are measured and reviewed for mission alignment.</x:v>
      </x:c>
      <x:c r="H79" s="124" t="str">
        <x:v>Three annual cohort and subsidy analyses</x:v>
      </x:c>
      <x:c r="I79" s="130"/>
      <x:c r="J79" s="131"/>
      <x:c r="K79" s="124" t="str">
        <x:f>IF(F79="No","N/A",IF(J79&lt;&gt;"","Yes","No"))</x:f>
        <x:v>N/A</x:v>
      </x:c>
      <x:c r="L79" s="124" t="str">
        <x:f>IF(OR(F79="No",I79=""),"",MAX(0,D79-I79))</x:f>
      </x:c>
      <x:c r="M79" s="124" t="str">
        <x:f>IF(F79="No","N/A",IF(I79="","Unscored",IF(AND(E79="Yes",I79&lt;D79),"Urgent",IF(L79&gt;0,"High",IF(K79="No","Medium","Maintain")))))</x:f>
        <x:v>N/A</x:v>
      </x:c>
      <x:c r="N79" s="132"/>
      <x:c r="O79" s="133"/>
      <x:c r="P79" s="134"/>
      <x:c r="Q79" s="131"/>
    </x:row>
    <x:row r="80" ht="48" customHeight="1">
      <x:c r="A80" s="123" t="str">
        <x:v>S075</x:v>
      </x:c>
      <x:c r="B80" s="123" t="str">
        <x:v>D Circular Repair</x:v>
      </x:c>
      <x:c r="C80" s="123" t="str">
        <x:v>Circular Repair</x:v>
      </x:c>
      <x:c r="D80" s="123" t="n">
        <x:v>1</x:v>
      </x:c>
      <x:c r="E80" s="123" t="str">
        <x:v>Yes</x:v>
      </x:c>
      <x:c r="F80" s="123" t="str">
        <x:f>IF('Profile'!$B$21="Yes","Yes","No")</x:f>
        <x:v>No</x:v>
      </x:c>
      <x:c r="G80" s="124" t="str">
        <x:v>Repair events use intake, ownership, safety, and liability procedures.</x:v>
      </x:c>
      <x:c r="H80" s="124" t="str">
        <x:v>Intake form; event procedure</x:v>
      </x:c>
      <x:c r="I80" s="130"/>
      <x:c r="J80" s="131"/>
      <x:c r="K80" s="124" t="str">
        <x:f>IF(F80="No","N/A",IF(J80&lt;&gt;"","Yes","No"))</x:f>
        <x:v>N/A</x:v>
      </x:c>
      <x:c r="L80" s="124" t="str">
        <x:f>IF(OR(F80="No",I80=""),"",MAX(0,D80-I80))</x:f>
      </x:c>
      <x:c r="M80" s="124" t="str">
        <x:f>IF(F80="No","N/A",IF(I80="","Unscored",IF(AND(E80="Yes",I80&lt;D80),"Urgent",IF(L80&gt;0,"High",IF(K80="No","Medium","Maintain")))))</x:f>
        <x:v>N/A</x:v>
      </x:c>
      <x:c r="N80" s="132"/>
      <x:c r="O80" s="133"/>
      <x:c r="P80" s="134"/>
      <x:c r="Q80" s="131"/>
    </x:row>
    <x:row r="81" ht="48" customHeight="1">
      <x:c r="A81" s="123" t="str">
        <x:v>S076</x:v>
      </x:c>
      <x:c r="B81" s="123" t="str">
        <x:v>D Circular Repair</x:v>
      </x:c>
      <x:c r="C81" s="123" t="str">
        <x:v>Circular Repair</x:v>
      </x:c>
      <x:c r="D81" s="123" t="n">
        <x:v>2</x:v>
      </x:c>
      <x:c r="E81" s="123" t="str">
        <x:v>Yes</x:v>
      </x:c>
      <x:c r="F81" s="123" t="str">
        <x:f>IF('Profile'!$B$21="Yes","Yes","No")</x:f>
        <x:v>No</x:v>
      </x:c>
      <x:c r="G81" s="124" t="str">
        <x:v>Repairs are assigned to qualified mentors and powered items receive an appropriate post-repair safety check.</x:v>
      </x:c>
      <x:c r="H81" s="124" t="str">
        <x:v>Mentor roster; test logs</x:v>
      </x:c>
      <x:c r="I81" s="130"/>
      <x:c r="J81" s="131"/>
      <x:c r="K81" s="124" t="str">
        <x:f>IF(F81="No","N/A",IF(J81&lt;&gt;"","Yes","No"))</x:f>
        <x:v>N/A</x:v>
      </x:c>
      <x:c r="L81" s="124" t="str">
        <x:f>IF(OR(F81="No",I81=""),"",MAX(0,D81-I81))</x:f>
      </x:c>
      <x:c r="M81" s="124" t="str">
        <x:f>IF(F81="No","N/A",IF(I81="","Unscored",IF(AND(E81="Yes",I81&lt;D81),"Urgent",IF(L81&gt;0,"High",IF(K81="No","Medium","Maintain")))))</x:f>
        <x:v>N/A</x:v>
      </x:c>
      <x:c r="N81" s="132"/>
      <x:c r="O81" s="133"/>
      <x:c r="P81" s="134"/>
      <x:c r="Q81" s="131"/>
    </x:row>
    <x:row r="82" ht="48" customHeight="1">
      <x:c r="A82" s="123" t="str">
        <x:v>S077</x:v>
      </x:c>
      <x:c r="B82" s="123" t="str">
        <x:v>D Circular Repair</x:v>
      </x:c>
      <x:c r="C82" s="123" t="str">
        <x:v>Circular Repair</x:v>
      </x:c>
      <x:c r="D82" s="123" t="n">
        <x:v>2</x:v>
      </x:c>
      <x:c r="E82" s="123" t="str">
        <x:v>Yes</x:v>
      </x:c>
      <x:c r="F82" s="123" t="str">
        <x:f>IF('Profile'!$B$21="Yes","Yes","No")</x:f>
        <x:v>No</x:v>
      </x:c>
      <x:c r="G82" s="124" t="str">
        <x:v>Salvaged materials are screened for hazardous coatings, contamination, structural defects, and prohibited items.</x:v>
      </x:c>
      <x:c r="H82" s="124" t="str">
        <x:v>Acceptance policy; inspection records</x:v>
      </x:c>
      <x:c r="I82" s="130"/>
      <x:c r="J82" s="131"/>
      <x:c r="K82" s="124" t="str">
        <x:f>IF(F82="No","N/A",IF(J82&lt;&gt;"","Yes","No"))</x:f>
        <x:v>N/A</x:v>
      </x:c>
      <x:c r="L82" s="124" t="str">
        <x:f>IF(OR(F82="No",I82=""),"",MAX(0,D82-I82))</x:f>
      </x:c>
      <x:c r="M82" s="124" t="str">
        <x:f>IF(F82="No","N/A",IF(I82="","Unscored",IF(AND(E82="Yes",I82&lt;D82),"Urgent",IF(L82&gt;0,"High",IF(K82="No","Medium","Maintain")))))</x:f>
        <x:v>N/A</x:v>
      </x:c>
      <x:c r="N82" s="132"/>
      <x:c r="O82" s="133"/>
      <x:c r="P82" s="134"/>
      <x:c r="Q82" s="131"/>
    </x:row>
    <x:row r="83" ht="48" customHeight="1">
      <x:c r="A83" s="123" t="str">
        <x:v>S078</x:v>
      </x:c>
      <x:c r="B83" s="123" t="str">
        <x:v>D Circular Repair</x:v>
      </x:c>
      <x:c r="C83" s="123" t="str">
        <x:v>Circular Repair</x:v>
      </x:c>
      <x:c r="D83" s="123" t="n">
        <x:v>3</x:v>
      </x:c>
      <x:c r="E83" s="123" t="str">
        <x:v>No</x:v>
      </x:c>
      <x:c r="F83" s="123" t="str">
        <x:f>IF('Profile'!$B$21="Yes","Yes","No")</x:f>
        <x:v>No</x:v>
      </x:c>
      <x:c r="G83" s="124" t="str">
        <x:v>Diversion, repair outcomes, incidents, and repeat failures are reviewed annually.</x:v>
      </x:c>
      <x:c r="H83" s="124" t="str">
        <x:v>Three annual outcome reports</x:v>
      </x:c>
      <x:c r="I83" s="130"/>
      <x:c r="J83" s="131"/>
      <x:c r="K83" s="124" t="str">
        <x:f>IF(F83="No","N/A",IF(J83&lt;&gt;"","Yes","No"))</x:f>
        <x:v>N/A</x:v>
      </x:c>
      <x:c r="L83" s="124" t="str">
        <x:f>IF(OR(F83="No",I83=""),"",MAX(0,D83-I83))</x:f>
      </x:c>
      <x:c r="M83" s="124" t="str">
        <x:f>IF(F83="No","N/A",IF(I83="","Unscored",IF(AND(E83="Yes",I83&lt;D83),"Urgent",IF(L83&gt;0,"High",IF(K83="No","Medium","Maintain")))))</x:f>
        <x:v>N/A</x:v>
      </x:c>
      <x:c r="N83" s="132"/>
      <x:c r="O83" s="133"/>
      <x:c r="P83" s="134"/>
      <x:c r="Q83" s="131"/>
    </x:row>
    <x:row r="84" ht="48" customHeight="1">
      <x:c r="A84" s="123" t="str">
        <x:v>S079</x:v>
      </x:c>
      <x:c r="B84" s="123" t="str">
        <x:v>E Workspaces</x:v>
      </x:c>
      <x:c r="C84" s="123" t="str">
        <x:v>Workspace Rentals</x:v>
      </x:c>
      <x:c r="D84" s="123" t="n">
        <x:v>1</x:v>
      </x:c>
      <x:c r="E84" s="123" t="str">
        <x:v>Yes</x:v>
      </x:c>
      <x:c r="F84" s="123" t="str">
        <x:f>IF('Profile'!$B$22="Yes","Yes","No")</x:f>
        <x:v>No</x:v>
      </x:c>
      <x:c r="G84" s="124" t="str">
        <x:v>Every occupant has a written license or rental agreement defining use, fees, term, termination, and non-subletting.</x:v>
      </x:c>
      <x:c r="H84" s="124" t="str">
        <x:v>Executed agreements; occupant roster</x:v>
      </x:c>
      <x:c r="I84" s="130"/>
      <x:c r="J84" s="131"/>
      <x:c r="K84" s="124" t="str">
        <x:f>IF(F84="No","N/A",IF(J84&lt;&gt;"","Yes","No"))</x:f>
        <x:v>N/A</x:v>
      </x:c>
      <x:c r="L84" s="124" t="str">
        <x:f>IF(OR(F84="No",I84=""),"",MAX(0,D84-I84))</x:f>
      </x:c>
      <x:c r="M84" s="124" t="str">
        <x:f>IF(F84="No","N/A",IF(I84="","Unscored",IF(AND(E84="Yes",I84&lt;D84),"Urgent",IF(L84&gt;0,"High",IF(K84="No","Medium","Maintain")))))</x:f>
        <x:v>N/A</x:v>
      </x:c>
      <x:c r="N84" s="132"/>
      <x:c r="O84" s="133"/>
      <x:c r="P84" s="134"/>
      <x:c r="Q84" s="131"/>
    </x:row>
    <x:row r="85" ht="48" customHeight="1">
      <x:c r="A85" s="123" t="str">
        <x:v>S080</x:v>
      </x:c>
      <x:c r="B85" s="123" t="str">
        <x:v>E Workspaces</x:v>
      </x:c>
      <x:c r="C85" s="123" t="str">
        <x:v>Workspace Rentals</x:v>
      </x:c>
      <x:c r="D85" s="123" t="n">
        <x:v>1</x:v>
      </x:c>
      <x:c r="E85" s="123" t="str">
        <x:v>Yes</x:v>
      </x:c>
      <x:c r="F85" s="123" t="str">
        <x:f>IF('Profile'!$B$22="Yes","Yes","No")</x:f>
        <x:v>No</x:v>
      </x:c>
      <x:c r="G85" s="124" t="str">
        <x:v>Egress, fire access, storage, chemicals, and housekeeping are inspected in private areas.</x:v>
      </x:c>
      <x:c r="H85" s="124" t="str">
        <x:v>Bay inspection logs; corrective actions</x:v>
      </x:c>
      <x:c r="I85" s="130"/>
      <x:c r="J85" s="131"/>
      <x:c r="K85" s="124" t="str">
        <x:f>IF(F85="No","N/A",IF(J85&lt;&gt;"","Yes","No"))</x:f>
        <x:v>N/A</x:v>
      </x:c>
      <x:c r="L85" s="124" t="str">
        <x:f>IF(OR(F85="No",I85=""),"",MAX(0,D85-I85))</x:f>
      </x:c>
      <x:c r="M85" s="124" t="str">
        <x:f>IF(F85="No","N/A",IF(I85="","Unscored",IF(AND(E85="Yes",I85&lt;D85),"Urgent",IF(L85&gt;0,"High",IF(K85="No","Medium","Maintain")))))</x:f>
        <x:v>N/A</x:v>
      </x:c>
      <x:c r="N85" s="132"/>
      <x:c r="O85" s="133"/>
      <x:c r="P85" s="134"/>
      <x:c r="Q85" s="131"/>
    </x:row>
    <x:row r="86" ht="48" customHeight="1">
      <x:c r="A86" s="123" t="str">
        <x:v>S081</x:v>
      </x:c>
      <x:c r="B86" s="123" t="str">
        <x:v>E Workspaces</x:v>
      </x:c>
      <x:c r="C86" s="123" t="str">
        <x:v>Workspace Rentals</x:v>
      </x:c>
      <x:c r="D86" s="123" t="n">
        <x:v>2</x:v>
      </x:c>
      <x:c r="E86" s="123" t="str">
        <x:v>Yes</x:v>
      </x:c>
      <x:c r="F86" s="123" t="str">
        <x:f>IF('Profile'!$B$22="Yes","Yes","No")</x:f>
        <x:v>No</x:v>
      </x:c>
      <x:c r="G86" s="124" t="str">
        <x:v>Electrical loads, personal machinery, alterations, hot work, and prohibited uses require defined approval.</x:v>
      </x:c>
      <x:c r="H86" s="124" t="str">
        <x:v>Workspace rules; approval records</x:v>
      </x:c>
      <x:c r="I86" s="130"/>
      <x:c r="J86" s="131"/>
      <x:c r="K86" s="124" t="str">
        <x:f>IF(F86="No","N/A",IF(J86&lt;&gt;"","Yes","No"))</x:f>
        <x:v>N/A</x:v>
      </x:c>
      <x:c r="L86" s="124" t="str">
        <x:f>IF(OR(F86="No",I86=""),"",MAX(0,D86-I86))</x:f>
      </x:c>
      <x:c r="M86" s="124" t="str">
        <x:f>IF(F86="No","N/A",IF(I86="","Unscored",IF(AND(E86="Yes",I86&lt;D86),"Urgent",IF(L86&gt;0,"High",IF(K86="No","Medium","Maintain")))))</x:f>
        <x:v>N/A</x:v>
      </x:c>
      <x:c r="N86" s="132"/>
      <x:c r="O86" s="133"/>
      <x:c r="P86" s="134"/>
      <x:c r="Q86" s="131"/>
    </x:row>
    <x:row r="87" ht="48" customHeight="1">
      <x:c r="A87" s="123" t="str">
        <x:v>S082</x:v>
      </x:c>
      <x:c r="B87" s="123" t="str">
        <x:v>E Workspaces</x:v>
      </x:c>
      <x:c r="C87" s="123" t="str">
        <x:v>Workspace Rentals</x:v>
      </x:c>
      <x:c r="D87" s="123" t="n">
        <x:v>2</x:v>
      </x:c>
      <x:c r="E87" s="123" t="str">
        <x:v>Yes</x:v>
      </x:c>
      <x:c r="F87" s="123" t="str">
        <x:f>IF('Profile'!$B$22="Yes","Yes","No")</x:f>
        <x:v>No</x:v>
      </x:c>
      <x:c r="G87" s="124" t="str">
        <x:v>Access, property risk, required insurance, disputes, and abandoned property are addressed in writing.</x:v>
      </x:c>
      <x:c r="H87" s="124" t="str">
        <x:v>Agreements; insurance records; procedures</x:v>
      </x:c>
      <x:c r="I87" s="130"/>
      <x:c r="J87" s="131"/>
      <x:c r="K87" s="124" t="str">
        <x:f>IF(F87="No","N/A",IF(J87&lt;&gt;"","Yes","No"))</x:f>
        <x:v>N/A</x:v>
      </x:c>
      <x:c r="L87" s="124" t="str">
        <x:f>IF(OR(F87="No",I87=""),"",MAX(0,D87-I87))</x:f>
      </x:c>
      <x:c r="M87" s="124" t="str">
        <x:f>IF(F87="No","N/A",IF(I87="","Unscored",IF(AND(E87="Yes",I87&lt;D87),"Urgent",IF(L87&gt;0,"High",IF(K87="No","Medium","Maintain")))))</x:f>
        <x:v>N/A</x:v>
      </x:c>
      <x:c r="N87" s="132"/>
      <x:c r="O87" s="133"/>
      <x:c r="P87" s="134"/>
      <x:c r="Q87" s="131"/>
    </x:row>
    <x:row r="88" ht="48" customHeight="1">
      <x:c r="A88" s="123" t="str">
        <x:v>S083</x:v>
      </x:c>
      <x:c r="B88" s="123" t="str">
        <x:v>E Workspaces</x:v>
      </x:c>
      <x:c r="C88" s="123" t="str">
        <x:v>Workspace Rentals</x:v>
      </x:c>
      <x:c r="D88" s="123" t="n">
        <x:v>3</x:v>
      </x:c>
      <x:c r="E88" s="123" t="str">
        <x:v>No</x:v>
      </x:c>
      <x:c r="F88" s="123" t="str">
        <x:f>IF('Profile'!$B$22="Yes","Yes","No")</x:f>
        <x:v>No</x:v>
      </x:c>
      <x:c r="G88" s="124" t="str">
        <x:v>Annual portfolio review covers compliance, incidents, insurance, occupancy, subsidy, and mission alignment.</x:v>
      </x:c>
      <x:c r="H88" s="124" t="str">
        <x:v>Three annual workspace reviews</x:v>
      </x:c>
      <x:c r="I88" s="135"/>
      <x:c r="J88" s="136"/>
      <x:c r="K88" s="124" t="str">
        <x:f>IF(F88="No","N/A",IF(J88&lt;&gt;"","Yes","No"))</x:f>
        <x:v>N/A</x:v>
      </x:c>
      <x:c r="L88" s="124" t="str">
        <x:f>IF(OR(F88="No",I88=""),"",MAX(0,D88-I88))</x:f>
      </x:c>
      <x:c r="M88" s="124" t="str">
        <x:f>IF(F88="No","N/A",IF(I88="","Unscored",IF(AND(E88="Yes",I88&lt;D88),"Urgent",IF(L88&gt;0,"High",IF(K88="No","Medium","Maintain")))))</x:f>
        <x:v>N/A</x:v>
      </x:c>
      <x:c r="N88" s="137"/>
      <x:c r="O88" s="138"/>
      <x:c r="P88" s="139"/>
      <x:c r="Q88" s="136"/>
    </x:row>
  </x:sheetData>
  <x:mergeCells>
    <x:mergeCell ref="A1:Q2"/>
    <x:mergeCell ref="A3:Q3"/>
  </x:mergeCells>
  <x:conditionalFormatting sqref="F6:F88">
    <x:cfRule type="containsText" dxfId="0" priority="1" operator="containsText" text="No"/>
  </x:conditionalFormatting>
  <x:conditionalFormatting sqref="I6:I88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M6:M88">
    <x:cfRule type="containsText" dxfId="1" priority="3" operator="containsText" text="Urgent"/>
    <x:cfRule type="containsText" dxfId="2" priority="4" operator="containsText" text="High"/>
  </x:conditionalFormatting>
  <x:dataValidations count="2">
    <x:dataValidation type="whole" operator="between" sqref="I6:I88">
      <x:formula1>0</x:formula1>
      <x:formula2>3</x:formula2>
    </x:dataValidation>
    <x:dataValidation type="list" sqref="N6:N88">
      <x:formula1>"Unassigned,Executive Director,Board,Operations,Shop Lead,Finance,HR,Program Lead,Volunteer Lead,Other"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f9027e66294a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33" t="str">
        <x:v>3. Results Dashboard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</x:row>
    <x:row r="4">
      <x:c r="A4" s="37" t="str">
        <x:v>Overall measure</x:v>
      </x:c>
      <x:c r="B4" s="37" t="str">
        <x:v>Result</x:v>
      </x:c>
      <x:c r="C4" s="34"/>
      <x:c r="D4" s="37" t="str">
        <x:v>Recognition level</x:v>
      </x:c>
      <x:c r="E4" s="37" t="str">
        <x:v>Minimum average</x:v>
      </x:c>
      <x:c r="F4" s="37" t="str">
        <x:v>Critical requirement</x:v>
      </x:c>
      <x:c r="G4" s="37" t="str">
        <x:v>Evidence requirement</x:v>
      </x:c>
      <x:c r="H4" s="37" t="str">
        <x:v>Status</x:v>
      </x:c>
      <x:c r="I4" s="34"/>
      <x:c r="J4" s="34"/>
    </x:row>
    <x:row r="5">
      <x:c r="A5" s="140" t="str">
        <x:v>Applicable standards</x:v>
      </x:c>
      <x:c r="B5" s="141" t="n">
        <x:f>COUNTIF('Assessment'!$F$6:$F$88,"Yes")</x:f>
        <x:v>52</x:v>
      </x:c>
      <x:c r="C5" s="34"/>
      <x:c r="D5" s="34" t="str">
        <x:v>Foundational</x:v>
      </x:c>
      <x:c r="E5" s="34" t="n">
        <x:v>1</x:v>
      </x:c>
      <x:c r="F5" s="34" t="str">
        <x:v>Tier 1 critical ≥1</x:v>
      </x:c>
      <x:c r="G5" s="34" t="str">
        <x:v>None</x:v>
      </x:c>
      <x:c r="H5" s="34" t="str">
        <x:f>IF(AND($B$7&gt;=1,COUNTIFS('Assessment'!$F$6:$F$88,"Yes",'Assessment'!$E$6:$E$88,"Yes",'Assessment'!$D$6:$D$88,1,'Assessment'!$I$6:$I$88,"&lt;1")=0),"Met","Not yet")</x:f>
        <x:v>Not yet</x:v>
      </x:c>
      <x:c r="I5" s="34"/>
      <x:c r="J5" s="34"/>
    </x:row>
    <x:row r="6">
      <x:c r="A6" s="142" t="str">
        <x:v>Standards scored</x:v>
      </x:c>
      <x:c r="B6" s="143" t="n">
        <x:f>COUNT('Assessment'!$I$6:$I$88)</x:f>
        <x:v>0</x:v>
      </x:c>
      <x:c r="C6" s="34"/>
      <x:c r="D6" s="34" t="str">
        <x:v>Operational</x:v>
      </x:c>
      <x:c r="E6" s="34" t="n">
        <x:v>2</x:v>
      </x:c>
      <x:c r="F6" s="34" t="str">
        <x:v>Tier 1–2 critical ≥2</x:v>
      </x:c>
      <x:c r="G6" s="34" t="str">
        <x:v>80%</x:v>
      </x:c>
      <x:c r="H6" s="34" t="str">
        <x:f>IF(AND($B$7&gt;=2,$B$8&gt;=0.8,COUNTIFS('Assessment'!$F$6:$F$88,"Yes",'Assessment'!$E$6:$E$88,"Yes",'Assessment'!$D$6:$D$88,"&lt;=2",'Assessment'!$I$6:$I$88,"&lt;2")=0),"Met","Not yet")</x:f>
        <x:v>Not yet</x:v>
      </x:c>
      <x:c r="I6" s="34"/>
      <x:c r="J6" s="34"/>
    </x:row>
    <x:row r="7">
      <x:c r="A7" s="142" t="str">
        <x:v>Average score</x:v>
      </x:c>
      <x:c r="B7" s="144" t="n">
        <x:f>IFERROR(AVERAGEIFS('Assessment'!$I$6:$I$88,'Assessment'!$F$6:$F$88,"Yes"),0)</x:f>
        <x:v>0</x:v>
      </x:c>
      <x:c r="C7" s="34"/>
      <x:c r="D7" s="34" t="str">
        <x:v>Accredited-ready</x:v>
      </x:c>
      <x:c r="E7" s="34" t="n">
        <x:v>2.7</x:v>
      </x:c>
      <x:c r="F7" s="34" t="str">
        <x:v>All critical =3</x:v>
      </x:c>
      <x:c r="G7" s="34" t="str">
        <x:v>95% + 3 years</x:v>
      </x:c>
      <x:c r="H7" s="34" t="str">
        <x:f>IF(AND($B$7&gt;=2.7,$B$8&gt;=0.95,'Profile'!$B$23="Yes",COUNTIFS('Assessment'!$F$6:$F$88,"Yes",'Assessment'!$E$6:$E$88,"Yes",'Assessment'!$I$6:$I$88,"&lt;3")=0),"Ready for peer review","Not yet")</x:f>
        <x:v>Not yet</x:v>
      </x:c>
      <x:c r="I7" s="34"/>
      <x:c r="J7" s="34"/>
    </x:row>
    <x:row r="8">
      <x:c r="A8" s="142" t="str">
        <x:v>Evidence coverage</x:v>
      </x:c>
      <x:c r="B8" s="145" t="n">
        <x:f>IFERROR(COUNTIFS('Assessment'!$F$6:$F$88,"Yes",'Assessment'!$K$6:$K$88,"Yes")/B5,0)</x:f>
        <x:v>0</x:v>
      </x:c>
      <x:c r="C8" s="34"/>
      <x:c r="D8" s="34"/>
      <x:c r="E8" s="34"/>
      <x:c r="F8" s="34"/>
      <x:c r="G8" s="34"/>
      <x:c r="H8" s="34"/>
      <x:c r="I8" s="34"/>
      <x:c r="J8" s="34"/>
    </x:row>
    <x:row r="9">
      <x:c r="A9" s="142" t="str">
        <x:v>Open target gaps</x:v>
      </x:c>
      <x:c r="B9" s="143" t="n">
        <x:f>COUNTIFS('Assessment'!$F$6:$F$88,"Yes",'Assessment'!$L$6:$L$88,"&gt;0")</x:f>
        <x:v>0</x:v>
      </x:c>
      <x:c r="C9" s="34"/>
      <x:c r="D9" s="34"/>
      <x:c r="E9" s="34"/>
      <x:c r="F9" s="34"/>
      <x:c r="G9" s="34"/>
      <x:c r="H9" s="34"/>
      <x:c r="I9" s="34"/>
      <x:c r="J9" s="34"/>
    </x:row>
    <x:row r="10">
      <x:c r="A10" s="142" t="str">
        <x:v>Urgent gaps</x:v>
      </x:c>
      <x:c r="B10" s="143" t="n">
        <x:f>COUNTIFS('Assessment'!$F$6:$F$88,"Yes",'Assessment'!$M$6:$M$88,"Urgent")</x:f>
        <x:v>0</x:v>
      </x:c>
      <x:c r="C10" s="34"/>
      <x:c r="D10" s="34"/>
      <x:c r="E10" s="34"/>
      <x:c r="F10" s="34"/>
      <x:c r="G10" s="34"/>
      <x:c r="H10" s="34"/>
      <x:c r="I10" s="34"/>
      <x:c r="J10" s="34"/>
    </x:row>
    <x:row r="11">
      <x:c r="A11" s="146" t="str">
        <x:v>Unscored standards</x:v>
      </x:c>
      <x:c r="B11" s="147" t="n">
        <x:f>B5-B6</x:f>
        <x:v>52</x:v>
      </x:c>
      <x:c r="C11" s="34"/>
      <x:c r="D11" s="34"/>
      <x:c r="E11" s="34"/>
      <x:c r="F11" s="34"/>
      <x:c r="G11" s="34"/>
      <x:c r="H11" s="34"/>
      <x:c r="I11" s="34"/>
      <x:c r="J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</x:row>
    <x:row r="13">
      <x:c r="A13" s="37" t="str">
        <x:v>Domain</x:v>
      </x:c>
      <x:c r="B13" s="37" t="str">
        <x:v>Applicable</x:v>
      </x:c>
      <x:c r="C13" s="37" t="str">
        <x:v>Average Score</x:v>
      </x:c>
      <x:c r="D13" s="37" t="str">
        <x:v>Target Gaps</x:v>
      </x:c>
      <x:c r="E13" s="34"/>
      <x:c r="F13" s="34"/>
      <x:c r="G13" s="34"/>
      <x:c r="H13" s="34"/>
      <x:c r="I13" s="34"/>
      <x:c r="J13" s="34"/>
    </x:row>
    <x:row r="14">
      <x:c r="A14" s="140" t="str">
        <x:v>1 Governance</x:v>
      </x:c>
      <x:c r="B14" s="148" t="n">
        <x:f>COUNTIFS('Assessment'!$B$6:$B$88,A14,'Assessment'!$F$6:$F$88,"Yes")</x:f>
        <x:v>10</x:v>
      </x:c>
      <x:c r="C14" s="149" t="n">
        <x:f>IFERROR(AVERAGEIFS('Assessment'!$I$6:$I$88,'Assessment'!$B$6:$B$88,A14,'Assessment'!$F$6:$F$88,"Yes"),0)</x:f>
        <x:v>0</x:v>
      </x:c>
      <x:c r="D14" s="141" t="n">
        <x:f>COUNTIFS('Assessment'!$B$6:$B$88,A14,'Assessment'!$F$6:$F$88,"Yes",'Assessment'!$L$6:$L$88,"&gt;0")</x:f>
        <x:v>0</x:v>
      </x:c>
      <x:c r="E14" s="34"/>
      <x:c r="F14" s="34"/>
      <x:c r="G14" s="34"/>
      <x:c r="H14" s="34"/>
      <x:c r="I14" s="34"/>
      <x:c r="J14" s="34"/>
    </x:row>
    <x:row r="15">
      <x:c r="A15" s="142" t="str">
        <x:v>2 Safety &amp; Risk</x:v>
      </x:c>
      <x:c r="B15" s="150" t="n">
        <x:f>COUNTIFS('Assessment'!$B$6:$B$88,A15,'Assessment'!$F$6:$F$88,"Yes")</x:f>
        <x:v>10</x:v>
      </x:c>
      <x:c r="C15" s="151" t="n">
        <x:f>IFERROR(AVERAGEIFS('Assessment'!$I$6:$I$88,'Assessment'!$B$6:$B$88,A15,'Assessment'!$F$6:$F$88,"Yes"),0)</x:f>
        <x:v>0</x:v>
      </x:c>
      <x:c r="D15" s="143" t="n">
        <x:f>COUNTIFS('Assessment'!$B$6:$B$88,A15,'Assessment'!$F$6:$F$88,"Yes",'Assessment'!$L$6:$L$88,"&gt;0")</x:f>
        <x:v>0</x:v>
      </x:c>
      <x:c r="E15" s="34"/>
      <x:c r="F15" s="34"/>
      <x:c r="G15" s="34"/>
      <x:c r="H15" s="34"/>
      <x:c r="I15" s="34"/>
      <x:c r="J15" s="34"/>
    </x:row>
    <x:row r="16">
      <x:c r="A16" s="142" t="str">
        <x:v>3 User Access</x:v>
      </x:c>
      <x:c r="B16" s="150" t="n">
        <x:f>COUNTIFS('Assessment'!$B$6:$B$88,A16,'Assessment'!$F$6:$F$88,"Yes")</x:f>
        <x:v>6</x:v>
      </x:c>
      <x:c r="C16" s="151" t="n">
        <x:f>IFERROR(AVERAGEIFS('Assessment'!$I$6:$I$88,'Assessment'!$B$6:$B$88,A16,'Assessment'!$F$6:$F$88,"Yes"),0)</x:f>
        <x:v>0</x:v>
      </x:c>
      <x:c r="D16" s="143" t="n">
        <x:f>COUNTIFS('Assessment'!$B$6:$B$88,A16,'Assessment'!$F$6:$F$88,"Yes",'Assessment'!$L$6:$L$88,"&gt;0")</x:f>
        <x:v>0</x:v>
      </x:c>
      <x:c r="E16" s="34"/>
      <x:c r="F16" s="34"/>
      <x:c r="G16" s="34"/>
      <x:c r="H16" s="34"/>
      <x:c r="I16" s="34"/>
      <x:c r="J16" s="34"/>
    </x:row>
    <x:row r="17">
      <x:c r="A17" s="142" t="str">
        <x:v>4 Facility &amp; Assets</x:v>
      </x:c>
      <x:c r="B17" s="150" t="n">
        <x:f>COUNTIFS('Assessment'!$B$6:$B$88,A17,'Assessment'!$F$6:$F$88,"Yes")</x:f>
        <x:v>8</x:v>
      </x:c>
      <x:c r="C17" s="151" t="n">
        <x:f>IFERROR(AVERAGEIFS('Assessment'!$I$6:$I$88,'Assessment'!$B$6:$B$88,A17,'Assessment'!$F$6:$F$88,"Yes"),0)</x:f>
        <x:v>0</x:v>
      </x:c>
      <x:c r="D17" s="143" t="n">
        <x:f>COUNTIFS('Assessment'!$B$6:$B$88,A17,'Assessment'!$F$6:$F$88,"Yes",'Assessment'!$L$6:$L$88,"&gt;0")</x:f>
        <x:v>0</x:v>
      </x:c>
      <x:c r="E17" s="34"/>
      <x:c r="F17" s="34"/>
      <x:c r="G17" s="34"/>
      <x:c r="H17" s="34"/>
      <x:c r="I17" s="34"/>
      <x:c r="J17" s="34"/>
    </x:row>
    <x:row r="18">
      <x:c r="A18" s="142" t="str">
        <x:v>5 Finance &amp; People</x:v>
      </x:c>
      <x:c r="B18" s="150" t="n">
        <x:f>COUNTIFS('Assessment'!$B$6:$B$88,A18,'Assessment'!$F$6:$F$88,"Yes")</x:f>
        <x:v>10</x:v>
      </x:c>
      <x:c r="C18" s="151" t="n">
        <x:f>IFERROR(AVERAGEIFS('Assessment'!$I$6:$I$88,'Assessment'!$B$6:$B$88,A18,'Assessment'!$F$6:$F$88,"Yes"),0)</x:f>
        <x:v>0</x:v>
      </x:c>
      <x:c r="D18" s="143" t="n">
        <x:f>COUNTIFS('Assessment'!$B$6:$B$88,A18,'Assessment'!$F$6:$F$88,"Yes",'Assessment'!$L$6:$L$88,"&gt;0")</x:f>
        <x:v>0</x:v>
      </x:c>
      <x:c r="E18" s="34"/>
      <x:c r="F18" s="34"/>
      <x:c r="G18" s="34"/>
      <x:c r="H18" s="34"/>
      <x:c r="I18" s="34"/>
      <x:c r="J18" s="34"/>
    </x:row>
    <x:row r="19">
      <x:c r="A19" s="142" t="str">
        <x:v>6 Community &amp; Impact</x:v>
      </x:c>
      <x:c r="B19" s="150" t="n">
        <x:f>COUNTIFS('Assessment'!$B$6:$B$88,A19,'Assessment'!$F$6:$F$88,"Yes")</x:f>
        <x:v>8</x:v>
      </x:c>
      <x:c r="C19" s="151" t="n">
        <x:f>IFERROR(AVERAGEIFS('Assessment'!$I$6:$I$88,'Assessment'!$B$6:$B$88,A19,'Assessment'!$F$6:$F$88,"Yes"),0)</x:f>
        <x:v>0</x:v>
      </x:c>
      <x:c r="D19" s="143" t="n">
        <x:f>COUNTIFS('Assessment'!$B$6:$B$88,A19,'Assessment'!$F$6:$F$88,"Yes",'Assessment'!$L$6:$L$88,"&gt;0")</x:f>
        <x:v>0</x:v>
      </x:c>
      <x:c r="E19" s="34"/>
      <x:c r="F19" s="34"/>
      <x:c r="G19" s="34"/>
      <x:c r="H19" s="34"/>
      <x:c r="I19" s="34"/>
      <x:c r="J19" s="34"/>
    </x:row>
    <x:row r="20">
      <x:c r="A20" s="142" t="str">
        <x:v>A Tool Lending</x:v>
      </x:c>
      <x:c r="B20" s="150" t="n">
        <x:f>COUNTIFS('Assessment'!$B$6:$B$88,A20,'Assessment'!$F$6:$F$88,"Yes")</x:f>
        <x:v>0</x:v>
      </x:c>
      <x:c r="C20" s="151" t="n">
        <x:f>IFERROR(AVERAGEIFS('Assessment'!$I$6:$I$88,'Assessment'!$B$6:$B$88,A20,'Assessment'!$F$6:$F$88,"Yes"),0)</x:f>
        <x:v>0</x:v>
      </x:c>
      <x:c r="D20" s="143" t="n">
        <x:f>COUNTIFS('Assessment'!$B$6:$B$88,A20,'Assessment'!$F$6:$F$88,"Yes",'Assessment'!$L$6:$L$88,"&gt;0")</x:f>
        <x:v>0</x:v>
      </x:c>
      <x:c r="E20" s="34"/>
      <x:c r="F20" s="34"/>
      <x:c r="G20" s="34"/>
      <x:c r="H20" s="34"/>
      <x:c r="I20" s="34"/>
      <x:c r="J20" s="34"/>
    </x:row>
    <x:row r="21">
      <x:c r="A21" s="142" t="str">
        <x:v>B Youth</x:v>
      </x:c>
      <x:c r="B21" s="150" t="n">
        <x:f>COUNTIFS('Assessment'!$B$6:$B$88,A21,'Assessment'!$F$6:$F$88,"Yes")</x:f>
        <x:v>0</x:v>
      </x:c>
      <x:c r="C21" s="151" t="n">
        <x:f>IFERROR(AVERAGEIFS('Assessment'!$I$6:$I$88,'Assessment'!$B$6:$B$88,A21,'Assessment'!$F$6:$F$88,"Yes"),0)</x:f>
        <x:v>0</x:v>
      </x:c>
      <x:c r="D21" s="143" t="n">
        <x:f>COUNTIFS('Assessment'!$B$6:$B$88,A21,'Assessment'!$F$6:$F$88,"Yes",'Assessment'!$L$6:$L$88,"&gt;0")</x:f>
        <x:v>0</x:v>
      </x:c>
      <x:c r="E21" s="34"/>
      <x:c r="F21" s="34"/>
      <x:c r="G21" s="34"/>
      <x:c r="H21" s="34"/>
      <x:c r="I21" s="34"/>
      <x:c r="J21" s="34"/>
    </x:row>
    <x:row r="22">
      <x:c r="A22" s="142" t="str">
        <x:v>C Incubation</x:v>
      </x:c>
      <x:c r="B22" s="150" t="n">
        <x:f>COUNTIFS('Assessment'!$B$6:$B$88,A22,'Assessment'!$F$6:$F$88,"Yes")</x:f>
        <x:v>0</x:v>
      </x:c>
      <x:c r="C22" s="151" t="n">
        <x:f>IFERROR(AVERAGEIFS('Assessment'!$I$6:$I$88,'Assessment'!$B$6:$B$88,A22,'Assessment'!$F$6:$F$88,"Yes"),0)</x:f>
        <x:v>0</x:v>
      </x:c>
      <x:c r="D22" s="143" t="n">
        <x:f>COUNTIFS('Assessment'!$B$6:$B$88,A22,'Assessment'!$F$6:$F$88,"Yes",'Assessment'!$L$6:$L$88,"&gt;0")</x:f>
        <x:v>0</x:v>
      </x:c>
      <x:c r="E22" s="34"/>
      <x:c r="F22" s="34"/>
      <x:c r="G22" s="34"/>
      <x:c r="H22" s="34"/>
      <x:c r="I22" s="34"/>
      <x:c r="J22" s="34"/>
    </x:row>
    <x:row r="23">
      <x:c r="A23" s="142" t="str">
        <x:v>D Circular Repair</x:v>
      </x:c>
      <x:c r="B23" s="150" t="n">
        <x:f>COUNTIFS('Assessment'!$B$6:$B$88,A23,'Assessment'!$F$6:$F$88,"Yes")</x:f>
        <x:v>0</x:v>
      </x:c>
      <x:c r="C23" s="151" t="n">
        <x:f>IFERROR(AVERAGEIFS('Assessment'!$I$6:$I$88,'Assessment'!$B$6:$B$88,A23,'Assessment'!$F$6:$F$88,"Yes"),0)</x:f>
        <x:v>0</x:v>
      </x:c>
      <x:c r="D23" s="143" t="n">
        <x:f>COUNTIFS('Assessment'!$B$6:$B$88,A23,'Assessment'!$F$6:$F$88,"Yes",'Assessment'!$L$6:$L$88,"&gt;0")</x:f>
        <x:v>0</x:v>
      </x:c>
      <x:c r="E23" s="34"/>
      <x:c r="F23" s="34"/>
      <x:c r="G23" s="34"/>
      <x:c r="H23" s="34"/>
      <x:c r="I23" s="34"/>
      <x:c r="J23" s="34"/>
    </x:row>
    <x:row r="24">
      <x:c r="A24" s="146" t="str">
        <x:v>E Workspaces</x:v>
      </x:c>
      <x:c r="B24" s="152" t="n">
        <x:f>COUNTIFS('Assessment'!$B$6:$B$88,A24,'Assessment'!$F$6:$F$88,"Yes")</x:f>
        <x:v>0</x:v>
      </x:c>
      <x:c r="C24" s="153" t="n">
        <x:f>IFERROR(AVERAGEIFS('Assessment'!$I$6:$I$88,'Assessment'!$B$6:$B$88,A24,'Assessment'!$F$6:$F$88,"Yes"),0)</x:f>
        <x:v>0</x:v>
      </x:c>
      <x:c r="D24" s="147" t="n">
        <x:f>COUNTIFS('Assessment'!$B$6:$B$88,A24,'Assessment'!$F$6:$F$88,"Yes",'Assessment'!$L$6:$L$88,"&gt;0")</x:f>
        <x:v>0</x:v>
      </x:c>
      <x:c r="E24" s="34"/>
      <x:c r="F24" s="34"/>
      <x:c r="G24" s="34"/>
      <x:c r="H24" s="34"/>
      <x:c r="I24" s="34"/>
      <x:c r="J24" s="34"/>
    </x:row>
  </x:sheetData>
  <x:mergeCells>
    <x:mergeCell ref="A1:J2"/>
  </x:mergeCells>
  <x:conditionalFormatting sqref="H5:H7">
    <x:cfRule type="containsText" dxfId="3" priority="1" operator="containsText" text="Met"/>
    <x:cfRule type="beginsWith" dxfId="4" priority="2" operator="beginsWith" text="Ready"/>
    <x:cfRule type="containsText" dxfId="5" priority="3" operator="containsText" text="Not yet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2" hidden="0" customWidth="1"/>
    <x:col min="4" max="4" width="60" hidden="0" customWidth="1"/>
    <x:col min="5" max="5" width="10" hidden="0" customWidth="1"/>
    <x:col min="6" max="6" width="10" hidden="0" customWidth="1"/>
    <x:col min="7" max="7" width="12" hidden="0" customWidth="1"/>
    <x:col min="8" max="8" width="18" hidden="0" customWidth="1"/>
    <x:col min="9" max="9" width="13" hidden="0" customWidth="1"/>
    <x:col min="10" max="10" width="40" hidden="0" customWidth="1"/>
    <x:col min="11" max="11" width="11" hidden="0" customWidth="1"/>
  </x:cols>
  <x:sheetData>
    <x:row r="1">
      <x:c r="A1" s="33" t="str">
        <x:v>4. Improvement Action Plan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</x:row>
    <x:row r="3">
      <x:c r="A3" s="121" t="str">
        <x:v>This sheet mirrors all applicable standards with a gap or missing evidence. Manage owners, dates, and actions on the Assessment sheet; this view updates automatically.</x:v>
      </x:c>
      <x:c r="B3" s="121"/>
      <x:c r="C3" s="121"/>
      <x:c r="D3" s="121"/>
      <x:c r="E3" s="121"/>
      <x:c r="F3" s="121"/>
      <x:c r="G3" s="121"/>
      <x:c r="H3" s="121"/>
      <x:c r="I3" s="121"/>
      <x:c r="J3" s="121"/>
      <x:c r="K3" s="121"/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</x:row>
    <x:row r="5">
      <x:c r="A5" s="122" t="str">
        <x:v>ID</x:v>
      </x:c>
      <x:c r="B5" s="122" t="str">
        <x:v>Domain</x:v>
      </x:c>
      <x:c r="C5" s="122" t="str">
        <x:v>Priority</x:v>
      </x:c>
      <x:c r="D5" s="122" t="str">
        <x:v>Standard</x:v>
      </x:c>
      <x:c r="E5" s="122" t="str">
        <x:v>Score</x:v>
      </x:c>
      <x:c r="F5" s="122" t="str">
        <x:v>Gap</x:v>
      </x:c>
      <x:c r="G5" s="122" t="str">
        <x:v>Evidence?</x:v>
      </x:c>
      <x:c r="H5" s="122" t="str">
        <x:v>Owner</x:v>
      </x:c>
      <x:c r="I5" s="122" t="str">
        <x:v>Due Date</x:v>
      </x:c>
      <x:c r="J5" s="122" t="str">
        <x:v>Action</x:v>
      </x:c>
      <x:c r="K5" s="122" t="str">
        <x:v>Include?</x:v>
      </x:c>
    </x:row>
    <x:row r="6" ht="42" customHeight="1">
      <x:c r="A6" s="123" t="str">
        <x:f>'Assessment'!A6</x:f>
        <x:v>S001</x:v>
      </x:c>
      <x:c r="B6" s="123" t="str">
        <x:f>'Assessment'!B6</x:f>
        <x:v>1 Governance</x:v>
      </x:c>
      <x:c r="C6" s="123" t="str">
        <x:f>'Assessment'!M6</x:f>
        <x:v>Unscored</x:v>
      </x:c>
      <x:c r="D6" s="124" t="str">
        <x:f>'Assessment'!G6</x:f>
        <x:v>Legal entity, tax-exempt status, registrations, and required filings are current.</x:v>
      </x:c>
      <x:c r="E6" s="123" t="str">
        <x:f>IF('Assessment'!I6="","",'Assessment'!I6)</x:f>
      </x:c>
      <x:c r="F6" s="123" t="str">
        <x:f>'Assessment'!L6</x:f>
      </x:c>
      <x:c r="G6" s="123" t="str">
        <x:f>'Assessment'!K6</x:f>
        <x:v>No</x:v>
      </x:c>
      <x:c r="H6" s="123" t="n">
        <x:f>'Assessment'!N6</x:f>
        <x:v>0</x:v>
      </x:c>
      <x:c r="I6" s="154" t="str">
        <x:f>IF('Assessment'!O6="","",'Assessment'!O6)</x:f>
      </x:c>
      <x:c r="J6" s="124" t="n">
        <x:f>'Assessment'!P6</x:f>
        <x:v>0</x:v>
      </x:c>
      <x:c r="K6" s="123" t="str">
        <x:f>IF(AND('Assessment'!F6="Yes",OR('Assessment'!I6="",'Assessment'!L6&gt;0,'Assessment'!K6="No")),"Yes","No")</x:f>
        <x:v>Yes</x:v>
      </x:c>
    </x:row>
    <x:row r="7" ht="42" customHeight="1">
      <x:c r="A7" s="123" t="str">
        <x:f>'Assessment'!A7</x:f>
        <x:v>S002</x:v>
      </x:c>
      <x:c r="B7" s="123" t="str">
        <x:f>'Assessment'!B7</x:f>
        <x:v>1 Governance</x:v>
      </x:c>
      <x:c r="C7" s="123" t="str">
        <x:f>'Assessment'!M7</x:f>
        <x:v>Unscored</x:v>
      </x:c>
      <x:c r="D7" s="124" t="str">
        <x:f>'Assessment'!G7</x:f>
        <x:v>Governing documents define authority, elections, meetings, and dissolution.</x:v>
      </x:c>
      <x:c r="E7" s="123" t="str">
        <x:f>IF('Assessment'!I7="","",'Assessment'!I7)</x:f>
      </x:c>
      <x:c r="F7" s="123" t="str">
        <x:f>'Assessment'!L7</x:f>
      </x:c>
      <x:c r="G7" s="123" t="str">
        <x:f>'Assessment'!K7</x:f>
        <x:v>No</x:v>
      </x:c>
      <x:c r="H7" s="123" t="n">
        <x:f>'Assessment'!N7</x:f>
        <x:v>0</x:v>
      </x:c>
      <x:c r="I7" s="154" t="str">
        <x:f>IF('Assessment'!O7="","",'Assessment'!O7)</x:f>
      </x:c>
      <x:c r="J7" s="124" t="n">
        <x:f>'Assessment'!P7</x:f>
        <x:v>0</x:v>
      </x:c>
      <x:c r="K7" s="123" t="str">
        <x:f>IF(AND('Assessment'!F7="Yes",OR('Assessment'!I7="",'Assessment'!L7&gt;0,'Assessment'!K7="No")),"Yes","No")</x:f>
        <x:v>Yes</x:v>
      </x:c>
    </x:row>
    <x:row r="8" ht="42" customHeight="1">
      <x:c r="A8" s="123" t="str">
        <x:f>'Assessment'!A8</x:f>
        <x:v>S003</x:v>
      </x:c>
      <x:c r="B8" s="123" t="str">
        <x:f>'Assessment'!B8</x:f>
        <x:v>1 Governance</x:v>
      </x:c>
      <x:c r="C8" s="123" t="str">
        <x:f>'Assessment'!M8</x:f>
        <x:v>Unscored</x:v>
      </x:c>
      <x:c r="D8" s="124" t="str">
        <x:f>'Assessment'!G8</x:f>
        <x:v>Board has at least five independent, unrelated voting directors or documents why another structure is appropriate.</x:v>
      </x:c>
      <x:c r="E8" s="123" t="str">
        <x:f>IF('Assessment'!I8="","",'Assessment'!I8)</x:f>
      </x:c>
      <x:c r="F8" s="123" t="str">
        <x:f>'Assessment'!L8</x:f>
      </x:c>
      <x:c r="G8" s="123" t="str">
        <x:f>'Assessment'!K8</x:f>
        <x:v>No</x:v>
      </x:c>
      <x:c r="H8" s="123" t="n">
        <x:f>'Assessment'!N8</x:f>
        <x:v>0</x:v>
      </x:c>
      <x:c r="I8" s="154" t="str">
        <x:f>IF('Assessment'!O8="","",'Assessment'!O8)</x:f>
      </x:c>
      <x:c r="J8" s="124" t="n">
        <x:f>'Assessment'!P8</x:f>
        <x:v>0</x:v>
      </x:c>
      <x:c r="K8" s="123" t="str">
        <x:f>IF(AND('Assessment'!F8="Yes",OR('Assessment'!I8="",'Assessment'!L8&gt;0,'Assessment'!K8="No")),"Yes","No")</x:f>
        <x:v>Yes</x:v>
      </x:c>
    </x:row>
    <x:row r="9" ht="42" customHeight="1">
      <x:c r="A9" s="123" t="str">
        <x:f>'Assessment'!A9</x:f>
        <x:v>S004</x:v>
      </x:c>
      <x:c r="B9" s="123" t="str">
        <x:f>'Assessment'!B9</x:f>
        <x:v>1 Governance</x:v>
      </x:c>
      <x:c r="C9" s="123" t="str">
        <x:f>'Assessment'!M9</x:f>
        <x:v>Unscored</x:v>
      </x:c>
      <x:c r="D9" s="124" t="str">
        <x:f>'Assessment'!G9</x:f>
        <x:v>Board meets regularly and retains approved minutes documenting decisions.</x:v>
      </x:c>
      <x:c r="E9" s="123" t="str">
        <x:f>IF('Assessment'!I9="","",'Assessment'!I9)</x:f>
      </x:c>
      <x:c r="F9" s="123" t="str">
        <x:f>'Assessment'!L9</x:f>
      </x:c>
      <x:c r="G9" s="123" t="str">
        <x:f>'Assessment'!K9</x:f>
        <x:v>No</x:v>
      </x:c>
      <x:c r="H9" s="123" t="n">
        <x:f>'Assessment'!N9</x:f>
        <x:v>0</x:v>
      </x:c>
      <x:c r="I9" s="154" t="str">
        <x:f>IF('Assessment'!O9="","",'Assessment'!O9)</x:f>
      </x:c>
      <x:c r="J9" s="124" t="n">
        <x:f>'Assessment'!P9</x:f>
        <x:v>0</x:v>
      </x:c>
      <x:c r="K9" s="123" t="str">
        <x:f>IF(AND('Assessment'!F9="Yes",OR('Assessment'!I9="",'Assessment'!L9&gt;0,'Assessment'!K9="No")),"Yes","No")</x:f>
        <x:v>Yes</x:v>
      </x:c>
    </x:row>
    <x:row r="10" ht="42" customHeight="1">
      <x:c r="A10" s="123" t="str">
        <x:f>'Assessment'!A10</x:f>
        <x:v>S005</x:v>
      </x:c>
      <x:c r="B10" s="123" t="str">
        <x:f>'Assessment'!B10</x:f>
        <x:v>1 Governance</x:v>
      </x:c>
      <x:c r="C10" s="123" t="str">
        <x:f>'Assessment'!M10</x:f>
        <x:v>Unscored</x:v>
      </x:c>
      <x:c r="D10" s="124" t="str">
        <x:f>'Assessment'!G10</x:f>
        <x:v>Conflict-of-interest policy includes annual disclosure and documented handling of conflicts.</x:v>
      </x:c>
      <x:c r="E10" s="123" t="str">
        <x:f>IF('Assessment'!I10="","",'Assessment'!I10)</x:f>
      </x:c>
      <x:c r="F10" s="123" t="str">
        <x:f>'Assessment'!L10</x:f>
      </x:c>
      <x:c r="G10" s="123" t="str">
        <x:f>'Assessment'!K10</x:f>
        <x:v>No</x:v>
      </x:c>
      <x:c r="H10" s="123" t="n">
        <x:f>'Assessment'!N10</x:f>
        <x:v>0</x:v>
      </x:c>
      <x:c r="I10" s="154" t="str">
        <x:f>IF('Assessment'!O10="","",'Assessment'!O10)</x:f>
      </x:c>
      <x:c r="J10" s="124" t="n">
        <x:f>'Assessment'!P10</x:f>
        <x:v>0</x:v>
      </x:c>
      <x:c r="K10" s="123" t="str">
        <x:f>IF(AND('Assessment'!F10="Yes",OR('Assessment'!I10="",'Assessment'!L10&gt;0,'Assessment'!K10="No")),"Yes","No")</x:f>
        <x:v>Yes</x:v>
      </x:c>
    </x:row>
    <x:row r="11" ht="42" customHeight="1">
      <x:c r="A11" s="123" t="str">
        <x:f>'Assessment'!A11</x:f>
        <x:v>S006</x:v>
      </x:c>
      <x:c r="B11" s="123" t="str">
        <x:f>'Assessment'!B11</x:f>
        <x:v>1 Governance</x:v>
      </x:c>
      <x:c r="C11" s="123" t="str">
        <x:f>'Assessment'!M11</x:f>
        <x:v>Unscored</x:v>
      </x:c>
      <x:c r="D11" s="124" t="str">
        <x:f>'Assessment'!G11</x:f>
        <x:v>Whistleblower, records-retention, and ethics policies cover directors, staff, and key volunteers.</x:v>
      </x:c>
      <x:c r="E11" s="123" t="str">
        <x:f>IF('Assessment'!I11="","",'Assessment'!I11)</x:f>
      </x:c>
      <x:c r="F11" s="123" t="str">
        <x:f>'Assessment'!L11</x:f>
      </x:c>
      <x:c r="G11" s="123" t="str">
        <x:f>'Assessment'!K11</x:f>
        <x:v>No</x:v>
      </x:c>
      <x:c r="H11" s="123" t="n">
        <x:f>'Assessment'!N11</x:f>
        <x:v>0</x:v>
      </x:c>
      <x:c r="I11" s="154" t="str">
        <x:f>IF('Assessment'!O11="","",'Assessment'!O11)</x:f>
      </x:c>
      <x:c r="J11" s="124" t="n">
        <x:f>'Assessment'!P11</x:f>
        <x:v>0</x:v>
      </x:c>
      <x:c r="K11" s="123" t="str">
        <x:f>IF(AND('Assessment'!F11="Yes",OR('Assessment'!I11="",'Assessment'!L11&gt;0,'Assessment'!K11="No")),"Yes","No")</x:f>
        <x:v>Yes</x:v>
      </x:c>
    </x:row>
    <x:row r="12" ht="42" customHeight="1">
      <x:c r="A12" s="123" t="str">
        <x:f>'Assessment'!A12</x:f>
        <x:v>S007</x:v>
      </x:c>
      <x:c r="B12" s="123" t="str">
        <x:f>'Assessment'!B12</x:f>
        <x:v>1 Governance</x:v>
      </x:c>
      <x:c r="C12" s="123" t="str">
        <x:f>'Assessment'!M12</x:f>
        <x:v>Unscored</x:v>
      </x:c>
      <x:c r="D12" s="124" t="str">
        <x:f>'Assessment'!G12</x:f>
        <x:v>Board-approved strategy connects mission, programs, facilities, and major capital purchases.</x:v>
      </x:c>
      <x:c r="E12" s="123" t="str">
        <x:f>IF('Assessment'!I12="","",'Assessment'!I12)</x:f>
      </x:c>
      <x:c r="F12" s="123" t="str">
        <x:f>'Assessment'!L12</x:f>
      </x:c>
      <x:c r="G12" s="123" t="str">
        <x:f>'Assessment'!K12</x:f>
        <x:v>No</x:v>
      </x:c>
      <x:c r="H12" s="123" t="n">
        <x:f>'Assessment'!N12</x:f>
        <x:v>0</x:v>
      </x:c>
      <x:c r="I12" s="154" t="str">
        <x:f>IF('Assessment'!O12="","",'Assessment'!O12)</x:f>
      </x:c>
      <x:c r="J12" s="124" t="n">
        <x:f>'Assessment'!P12</x:f>
        <x:v>0</x:v>
      </x:c>
      <x:c r="K12" s="123" t="str">
        <x:f>IF(AND('Assessment'!F12="Yes",OR('Assessment'!I12="",'Assessment'!L12&gt;0,'Assessment'!K12="No")),"Yes","No")</x:f>
        <x:v>Yes</x:v>
      </x:c>
    </x:row>
    <x:row r="13" ht="42" customHeight="1">
      <x:c r="A13" s="123" t="str">
        <x:f>'Assessment'!A13</x:f>
        <x:v>S008</x:v>
      </x:c>
      <x:c r="B13" s="123" t="str">
        <x:f>'Assessment'!B13</x:f>
        <x:v>1 Governance</x:v>
      </x:c>
      <x:c r="C13" s="123" t="str">
        <x:f>'Assessment'!M13</x:f>
        <x:v>Unscored</x:v>
      </x:c>
      <x:c r="D13" s="124" t="str">
        <x:f>'Assessment'!G13</x:f>
        <x:v>Users retain intellectual property they create except where a written agreement clearly states otherwise.</x:v>
      </x:c>
      <x:c r="E13" s="123" t="str">
        <x:f>IF('Assessment'!I13="","",'Assessment'!I13)</x:f>
      </x:c>
      <x:c r="F13" s="123" t="str">
        <x:f>'Assessment'!L13</x:f>
      </x:c>
      <x:c r="G13" s="123" t="str">
        <x:f>'Assessment'!K13</x:f>
        <x:v>No</x:v>
      </x:c>
      <x:c r="H13" s="123" t="n">
        <x:f>'Assessment'!N13</x:f>
        <x:v>0</x:v>
      </x:c>
      <x:c r="I13" s="154" t="str">
        <x:f>IF('Assessment'!O13="","",'Assessment'!O13)</x:f>
      </x:c>
      <x:c r="J13" s="124" t="n">
        <x:f>'Assessment'!P13</x:f>
        <x:v>0</x:v>
      </x:c>
      <x:c r="K13" s="123" t="str">
        <x:f>IF(AND('Assessment'!F13="Yes",OR('Assessment'!I13="",'Assessment'!L13&gt;0,'Assessment'!K13="No")),"Yes","No")</x:f>
        <x:v>Yes</x:v>
      </x:c>
    </x:row>
    <x:row r="14" ht="42" customHeight="1">
      <x:c r="A14" s="123" t="str">
        <x:f>'Assessment'!A14</x:f>
        <x:v>S009</x:v>
      </x:c>
      <x:c r="B14" s="123" t="str">
        <x:f>'Assessment'!B14</x:f>
        <x:v>1 Governance</x:v>
      </x:c>
      <x:c r="C14" s="123" t="str">
        <x:f>'Assessment'!M14</x:f>
        <x:v>Unscored</x:v>
      </x:c>
      <x:c r="D14" s="124" t="str">
        <x:f>'Assessment'!G14</x:f>
        <x:v>Leadership succession and emergency authority are documented and tested.</x:v>
      </x:c>
      <x:c r="E14" s="123" t="str">
        <x:f>IF('Assessment'!I14="","",'Assessment'!I14)</x:f>
      </x:c>
      <x:c r="F14" s="123" t="str">
        <x:f>'Assessment'!L14</x:f>
      </x:c>
      <x:c r="G14" s="123" t="str">
        <x:f>'Assessment'!K14</x:f>
        <x:v>No</x:v>
      </x:c>
      <x:c r="H14" s="123" t="n">
        <x:f>'Assessment'!N14</x:f>
        <x:v>0</x:v>
      </x:c>
      <x:c r="I14" s="154" t="str">
        <x:f>IF('Assessment'!O14="","",'Assessment'!O14)</x:f>
      </x:c>
      <x:c r="J14" s="124" t="n">
        <x:f>'Assessment'!P14</x:f>
        <x:v>0</x:v>
      </x:c>
      <x:c r="K14" s="123" t="str">
        <x:f>IF(AND('Assessment'!F14="Yes",OR('Assessment'!I14="",'Assessment'!L14&gt;0,'Assessment'!K14="No")),"Yes","No")</x:f>
        <x:v>Yes</x:v>
      </x:c>
    </x:row>
    <x:row r="15" ht="42" customHeight="1">
      <x:c r="A15" s="123" t="str">
        <x:f>'Assessment'!A15</x:f>
        <x:v>S010</x:v>
      </x:c>
      <x:c r="B15" s="123" t="str">
        <x:f>'Assessment'!B15</x:f>
        <x:v>1 Governance</x:v>
      </x:c>
      <x:c r="C15" s="123" t="str">
        <x:f>'Assessment'!M15</x:f>
        <x:v>Unscored</x:v>
      </x:c>
      <x:c r="D15" s="124" t="str">
        <x:f>'Assessment'!G15</x:f>
        <x:v>Board completes a documented annual self-evaluation and reviews organizational risk.</x:v>
      </x:c>
      <x:c r="E15" s="123" t="str">
        <x:f>IF('Assessment'!I15="","",'Assessment'!I15)</x:f>
      </x:c>
      <x:c r="F15" s="123" t="str">
        <x:f>'Assessment'!L15</x:f>
      </x:c>
      <x:c r="G15" s="123" t="str">
        <x:f>'Assessment'!K15</x:f>
        <x:v>No</x:v>
      </x:c>
      <x:c r="H15" s="123" t="n">
        <x:f>'Assessment'!N15</x:f>
        <x:v>0</x:v>
      </x:c>
      <x:c r="I15" s="154" t="str">
        <x:f>IF('Assessment'!O15="","",'Assessment'!O15)</x:f>
      </x:c>
      <x:c r="J15" s="124" t="n">
        <x:f>'Assessment'!P15</x:f>
        <x:v>0</x:v>
      </x:c>
      <x:c r="K15" s="123" t="str">
        <x:f>IF(AND('Assessment'!F15="Yes",OR('Assessment'!I15="",'Assessment'!L15&gt;0,'Assessment'!K15="No")),"Yes","No")</x:f>
        <x:v>Yes</x:v>
      </x:c>
    </x:row>
    <x:row r="16" ht="42" customHeight="1">
      <x:c r="A16" s="123" t="str">
        <x:f>'Assessment'!A16</x:f>
        <x:v>S011</x:v>
      </x:c>
      <x:c r="B16" s="123" t="str">
        <x:f>'Assessment'!B16</x:f>
        <x:v>2 Safety &amp; Risk</x:v>
      </x:c>
      <x:c r="C16" s="123" t="str">
        <x:f>'Assessment'!M16</x:f>
        <x:v>Unscored</x:v>
      </x:c>
      <x:c r="D16" s="124" t="str">
        <x:f>'Assessment'!G16</x:f>
        <x:v>Written general safety rules, emergency procedures, and emergency contacts are visible and current.</x:v>
      </x:c>
      <x:c r="E16" s="123" t="str">
        <x:f>IF('Assessment'!I16="","",'Assessment'!I16)</x:f>
      </x:c>
      <x:c r="F16" s="123" t="str">
        <x:f>'Assessment'!L16</x:f>
      </x:c>
      <x:c r="G16" s="123" t="str">
        <x:f>'Assessment'!K16</x:f>
        <x:v>No</x:v>
      </x:c>
      <x:c r="H16" s="123" t="n">
        <x:f>'Assessment'!N16</x:f>
        <x:v>0</x:v>
      </x:c>
      <x:c r="I16" s="154" t="str">
        <x:f>IF('Assessment'!O16="","",'Assessment'!O16)</x:f>
      </x:c>
      <x:c r="J16" s="124" t="n">
        <x:f>'Assessment'!P16</x:f>
        <x:v>0</x:v>
      </x:c>
      <x:c r="K16" s="123" t="str">
        <x:f>IF(AND('Assessment'!F16="Yes",OR('Assessment'!I16="",'Assessment'!L16&gt;0,'Assessment'!K16="No")),"Yes","No")</x:f>
        <x:v>Yes</x:v>
      </x:c>
    </x:row>
    <x:row r="17" ht="42" customHeight="1">
      <x:c r="A17" s="123" t="str">
        <x:f>'Assessment'!A17</x:f>
        <x:v>S012</x:v>
      </x:c>
      <x:c r="B17" s="123" t="str">
        <x:f>'Assessment'!B17</x:f>
        <x:v>2 Safety &amp; Risk</x:v>
      </x:c>
      <x:c r="C17" s="123" t="str">
        <x:f>'Assessment'!M17</x:f>
        <x:v>Unscored</x:v>
      </x:c>
      <x:c r="D17" s="124" t="str">
        <x:f>'Assessment'!G17</x:f>
        <x:v>Required fire protection, first-aid supplies, eyewash, exits, and emergency shutoffs are accessible and inspected.</x:v>
      </x:c>
      <x:c r="E17" s="123" t="str">
        <x:f>IF('Assessment'!I17="","",'Assessment'!I17)</x:f>
      </x:c>
      <x:c r="F17" s="123" t="str">
        <x:f>'Assessment'!L17</x:f>
      </x:c>
      <x:c r="G17" s="123" t="str">
        <x:f>'Assessment'!K17</x:f>
        <x:v>No</x:v>
      </x:c>
      <x:c r="H17" s="123" t="n">
        <x:f>'Assessment'!N17</x:f>
        <x:v>0</x:v>
      </x:c>
      <x:c r="I17" s="154" t="str">
        <x:f>IF('Assessment'!O17="","",'Assessment'!O17)</x:f>
      </x:c>
      <x:c r="J17" s="124" t="n">
        <x:f>'Assessment'!P17</x:f>
        <x:v>0</x:v>
      </x:c>
      <x:c r="K17" s="123" t="str">
        <x:f>IF(AND('Assessment'!F17="Yes",OR('Assessment'!I17="",'Assessment'!L17&gt;0,'Assessment'!K17="No")),"Yes","No")</x:f>
        <x:v>Yes</x:v>
      </x:c>
    </x:row>
    <x:row r="18" ht="42" customHeight="1">
      <x:c r="A18" s="123" t="str">
        <x:f>'Assessment'!A18</x:f>
        <x:v>S013</x:v>
      </x:c>
      <x:c r="B18" s="123" t="str">
        <x:f>'Assessment'!B18</x:f>
        <x:v>2 Safety &amp; Risk</x:v>
      </x:c>
      <x:c r="C18" s="123" t="str">
        <x:f>'Assessment'!M18</x:f>
        <x:v>Unscored</x:v>
      </x:c>
      <x:c r="D18" s="124" t="str">
        <x:f>'Assessment'!G18</x:f>
        <x:v>Hazardous chemicals are labeled, stored compatibly, and supported by accessible SDS information.</x:v>
      </x:c>
      <x:c r="E18" s="123" t="str">
        <x:f>IF('Assessment'!I18="","",'Assessment'!I18)</x:f>
      </x:c>
      <x:c r="F18" s="123" t="str">
        <x:f>'Assessment'!L18</x:f>
      </x:c>
      <x:c r="G18" s="123" t="str">
        <x:f>'Assessment'!K18</x:f>
        <x:v>No</x:v>
      </x:c>
      <x:c r="H18" s="123" t="n">
        <x:f>'Assessment'!N18</x:f>
        <x:v>0</x:v>
      </x:c>
      <x:c r="I18" s="154" t="str">
        <x:f>IF('Assessment'!O18="","",'Assessment'!O18)</x:f>
      </x:c>
      <x:c r="J18" s="124" t="n">
        <x:f>'Assessment'!P18</x:f>
        <x:v>0</x:v>
      </x:c>
      <x:c r="K18" s="123" t="str">
        <x:f>IF(AND('Assessment'!F18="Yes",OR('Assessment'!I18="",'Assessment'!L18&gt;0,'Assessment'!K18="No")),"Yes","No")</x:f>
        <x:v>Yes</x:v>
      </x:c>
    </x:row>
    <x:row r="19" ht="42" customHeight="1">
      <x:c r="A19" s="123" t="str">
        <x:f>'Assessment'!A19</x:f>
        <x:v>S014</x:v>
      </x:c>
      <x:c r="B19" s="123" t="str">
        <x:f>'Assessment'!B19</x:f>
        <x:v>2 Safety &amp; Risk</x:v>
      </x:c>
      <x:c r="C19" s="123" t="str">
        <x:f>'Assessment'!M19</x:f>
        <x:v>Unscored</x:v>
      </x:c>
      <x:c r="D19" s="124" t="str">
        <x:f>'Assessment'!G19</x:f>
        <x:v>Tools have point-of-use rules and required guarding, dust collection, ventilation, and PPE.</x:v>
      </x:c>
      <x:c r="E19" s="123" t="str">
        <x:f>IF('Assessment'!I19="","",'Assessment'!I19)</x:f>
      </x:c>
      <x:c r="F19" s="123" t="str">
        <x:f>'Assessment'!L19</x:f>
      </x:c>
      <x:c r="G19" s="123" t="str">
        <x:f>'Assessment'!K19</x:f>
        <x:v>No</x:v>
      </x:c>
      <x:c r="H19" s="123" t="n">
        <x:f>'Assessment'!N19</x:f>
        <x:v>0</x:v>
      </x:c>
      <x:c r="I19" s="154" t="str">
        <x:f>IF('Assessment'!O19="","",'Assessment'!O19)</x:f>
      </x:c>
      <x:c r="J19" s="124" t="n">
        <x:f>'Assessment'!P19</x:f>
        <x:v>0</x:v>
      </x:c>
      <x:c r="K19" s="123" t="str">
        <x:f>IF(AND('Assessment'!F19="Yes",OR('Assessment'!I19="",'Assessment'!L19&gt;0,'Assessment'!K19="No")),"Yes","No")</x:f>
        <x:v>Yes</x:v>
      </x:c>
    </x:row>
    <x:row r="20" ht="42" customHeight="1">
      <x:c r="A20" s="123" t="str">
        <x:f>'Assessment'!A20</x:f>
        <x:v>S015</x:v>
      </x:c>
      <x:c r="B20" s="123" t="str">
        <x:f>'Assessment'!B20</x:f>
        <x:v>2 Safety &amp; Risk</x:v>
      </x:c>
      <x:c r="C20" s="123" t="str">
        <x:f>'Assessment'!M20</x:f>
        <x:v>Unscored</x:v>
      </x:c>
      <x:c r="D20" s="124" t="str">
        <x:f>'Assessment'!G20</x:f>
        <x:v>Tools are assigned risk levels that determine training, supervision, and access-control requirements.</x:v>
      </x:c>
      <x:c r="E20" s="123" t="str">
        <x:f>IF('Assessment'!I20="","",'Assessment'!I20)</x:f>
      </x:c>
      <x:c r="F20" s="123" t="str">
        <x:f>'Assessment'!L20</x:f>
      </x:c>
      <x:c r="G20" s="123" t="str">
        <x:f>'Assessment'!K20</x:f>
        <x:v>No</x:v>
      </x:c>
      <x:c r="H20" s="123" t="n">
        <x:f>'Assessment'!N20</x:f>
        <x:v>0</x:v>
      </x:c>
      <x:c r="I20" s="154" t="str">
        <x:f>IF('Assessment'!O20="","",'Assessment'!O20)</x:f>
      </x:c>
      <x:c r="J20" s="124" t="n">
        <x:f>'Assessment'!P20</x:f>
        <x:v>0</x:v>
      </x:c>
      <x:c r="K20" s="123" t="str">
        <x:f>IF(AND('Assessment'!F20="Yes",OR('Assessment'!I20="",'Assessment'!L20&gt;0,'Assessment'!K20="No")),"Yes","No")</x:f>
        <x:v>Yes</x:v>
      </x:c>
    </x:row>
    <x:row r="21" ht="42" customHeight="1">
      <x:c r="A21" s="123" t="str">
        <x:f>'Assessment'!A21</x:f>
        <x:v>S016</x:v>
      </x:c>
      <x:c r="B21" s="123" t="str">
        <x:f>'Assessment'!B21</x:f>
        <x:v>2 Safety &amp; Risk</x:v>
      </x:c>
      <x:c r="C21" s="123" t="str">
        <x:f>'Assessment'!M21</x:f>
        <x:v>Unscored</x:v>
      </x:c>
      <x:c r="D21" s="124" t="str">
        <x:f>'Assessment'!G21</x:f>
        <x:v>Injuries, near misses, unsafe conditions, and equipment damage are promptly reported and reviewed.</x:v>
      </x:c>
      <x:c r="E21" s="123" t="str">
        <x:f>IF('Assessment'!I21="","",'Assessment'!I21)</x:f>
      </x:c>
      <x:c r="F21" s="123" t="str">
        <x:f>'Assessment'!L21</x:f>
      </x:c>
      <x:c r="G21" s="123" t="str">
        <x:f>'Assessment'!K21</x:f>
        <x:v>No</x:v>
      </x:c>
      <x:c r="H21" s="123" t="n">
        <x:f>'Assessment'!N21</x:f>
        <x:v>0</x:v>
      </x:c>
      <x:c r="I21" s="154" t="str">
        <x:f>IF('Assessment'!O21="","",'Assessment'!O21)</x:f>
      </x:c>
      <x:c r="J21" s="124" t="n">
        <x:f>'Assessment'!P21</x:f>
        <x:v>0</x:v>
      </x:c>
      <x:c r="K21" s="123" t="str">
        <x:f>IF(AND('Assessment'!F21="Yes",OR('Assessment'!I21="",'Assessment'!L21&gt;0,'Assessment'!K21="No")),"Yes","No")</x:f>
        <x:v>Yes</x:v>
      </x:c>
    </x:row>
    <x:row r="22" ht="42" customHeight="1">
      <x:c r="A22" s="123" t="str">
        <x:f>'Assessment'!A22</x:f>
        <x:v>S017</x:v>
      </x:c>
      <x:c r="B22" s="123" t="str">
        <x:f>'Assessment'!B22</x:f>
        <x:v>2 Safety &amp; Risk</x:v>
      </x:c>
      <x:c r="C22" s="123" t="str">
        <x:f>'Assessment'!M22</x:f>
        <x:v>Unscored</x:v>
      </x:c>
      <x:c r="D22" s="124" t="str">
        <x:f>'Assessment'!G22</x:f>
        <x:v>Opening, closing, lone-work, impairment, and after-hours emergency protocols are documented.</x:v>
      </x:c>
      <x:c r="E22" s="123" t="str">
        <x:f>IF('Assessment'!I22="","",'Assessment'!I22)</x:f>
      </x:c>
      <x:c r="F22" s="123" t="str">
        <x:f>'Assessment'!L22</x:f>
      </x:c>
      <x:c r="G22" s="123" t="str">
        <x:f>'Assessment'!K22</x:f>
        <x:v>No</x:v>
      </x:c>
      <x:c r="H22" s="123" t="n">
        <x:f>'Assessment'!N22</x:f>
        <x:v>0</x:v>
      </x:c>
      <x:c r="I22" s="154" t="str">
        <x:f>IF('Assessment'!O22="","",'Assessment'!O22)</x:f>
      </x:c>
      <x:c r="J22" s="124" t="n">
        <x:f>'Assessment'!P22</x:f>
        <x:v>0</x:v>
      </x:c>
      <x:c r="K22" s="123" t="str">
        <x:f>IF(AND('Assessment'!F22="Yes",OR('Assessment'!I22="",'Assessment'!L22&gt;0,'Assessment'!K22="No")),"Yes","No")</x:f>
        <x:v>Yes</x:v>
      </x:c>
    </x:row>
    <x:row r="23" ht="42" customHeight="1">
      <x:c r="A23" s="123" t="str">
        <x:f>'Assessment'!A23</x:f>
        <x:v>S018</x:v>
      </x:c>
      <x:c r="B23" s="123" t="str">
        <x:f>'Assessment'!B23</x:f>
        <x:v>2 Safety &amp; Risk</x:v>
      </x:c>
      <x:c r="C23" s="123" t="str">
        <x:f>'Assessment'!M23</x:f>
        <x:v>Unscored</x:v>
      </x:c>
      <x:c r="D23" s="124" t="str">
        <x:f>'Assessment'!G23</x:f>
        <x:v>Insurance coverages and limits are reviewed annually against actual operations.</x:v>
      </x:c>
      <x:c r="E23" s="123" t="str">
        <x:f>IF('Assessment'!I23="","",'Assessment'!I23)</x:f>
      </x:c>
      <x:c r="F23" s="123" t="str">
        <x:f>'Assessment'!L23</x:f>
      </x:c>
      <x:c r="G23" s="123" t="str">
        <x:f>'Assessment'!K23</x:f>
        <x:v>No</x:v>
      </x:c>
      <x:c r="H23" s="123" t="n">
        <x:f>'Assessment'!N23</x:f>
        <x:v>0</x:v>
      </x:c>
      <x:c r="I23" s="154" t="str">
        <x:f>IF('Assessment'!O23="","",'Assessment'!O23)</x:f>
      </x:c>
      <x:c r="J23" s="124" t="n">
        <x:f>'Assessment'!P23</x:f>
        <x:v>0</x:v>
      </x:c>
      <x:c r="K23" s="123" t="str">
        <x:f>IF(AND('Assessment'!F23="Yes",OR('Assessment'!I23="",'Assessment'!L23&gt;0,'Assessment'!K23="No")),"Yes","No")</x:f>
        <x:v>Yes</x:v>
      </x:c>
    </x:row>
    <x:row r="24" ht="42" customHeight="1">
      <x:c r="A24" s="123" t="str">
        <x:f>'Assessment'!A24</x:f>
        <x:v>S019</x:v>
      </x:c>
      <x:c r="B24" s="123" t="str">
        <x:f>'Assessment'!B24</x:f>
        <x:v>2 Safety &amp; Risk</x:v>
      </x:c>
      <x:c r="C24" s="123" t="str">
        <x:f>'Assessment'!M24</x:f>
        <x:v>Unscored</x:v>
      </x:c>
      <x:c r="D24" s="124" t="str">
        <x:f>'Assessment'!G24</x:f>
        <x:v>A qualified annual safety audit tracks findings through closure and analyzes incident trends.</x:v>
      </x:c>
      <x:c r="E24" s="123" t="str">
        <x:f>IF('Assessment'!I24="","",'Assessment'!I24)</x:f>
      </x:c>
      <x:c r="F24" s="123" t="str">
        <x:f>'Assessment'!L24</x:f>
      </x:c>
      <x:c r="G24" s="123" t="str">
        <x:f>'Assessment'!K24</x:f>
        <x:v>No</x:v>
      </x:c>
      <x:c r="H24" s="123" t="n">
        <x:f>'Assessment'!N24</x:f>
        <x:v>0</x:v>
      </x:c>
      <x:c r="I24" s="154" t="str">
        <x:f>IF('Assessment'!O24="","",'Assessment'!O24)</x:f>
      </x:c>
      <x:c r="J24" s="124" t="n">
        <x:f>'Assessment'!P24</x:f>
        <x:v>0</x:v>
      </x:c>
      <x:c r="K24" s="123" t="str">
        <x:f>IF(AND('Assessment'!F24="Yes",OR('Assessment'!I24="",'Assessment'!L24&gt;0,'Assessment'!K24="No")),"Yes","No")</x:f>
        <x:v>Yes</x:v>
      </x:c>
    </x:row>
    <x:row r="25" ht="42" customHeight="1">
      <x:c r="A25" s="123" t="str">
        <x:f>'Assessment'!A25</x:f>
        <x:v>S020</x:v>
      </x:c>
      <x:c r="B25" s="123" t="str">
        <x:f>'Assessment'!B25</x:f>
        <x:v>2 Safety &amp; Risk</x:v>
      </x:c>
      <x:c r="C25" s="123" t="str">
        <x:f>'Assessment'!M25</x:f>
        <x:v>Unscored</x:v>
      </x:c>
      <x:c r="D25" s="124" t="str">
        <x:f>'Assessment'!G25</x:f>
        <x:v>Waste, emissions, used materials, and hazardous disposal are managed under documented environmental procedures.</x:v>
      </x:c>
      <x:c r="E25" s="123" t="str">
        <x:f>IF('Assessment'!I25="","",'Assessment'!I25)</x:f>
      </x:c>
      <x:c r="F25" s="123" t="str">
        <x:f>'Assessment'!L25</x:f>
      </x:c>
      <x:c r="G25" s="123" t="str">
        <x:f>'Assessment'!K25</x:f>
        <x:v>No</x:v>
      </x:c>
      <x:c r="H25" s="123" t="n">
        <x:f>'Assessment'!N25</x:f>
        <x:v>0</x:v>
      </x:c>
      <x:c r="I25" s="154" t="str">
        <x:f>IF('Assessment'!O25="","",'Assessment'!O25)</x:f>
      </x:c>
      <x:c r="J25" s="124" t="n">
        <x:f>'Assessment'!P25</x:f>
        <x:v>0</x:v>
      </x:c>
      <x:c r="K25" s="123" t="str">
        <x:f>IF(AND('Assessment'!F25="Yes",OR('Assessment'!I25="",'Assessment'!L25&gt;0,'Assessment'!K25="No")),"Yes","No")</x:f>
        <x:v>Yes</x:v>
      </x:c>
    </x:row>
    <x:row r="26" ht="42" customHeight="1">
      <x:c r="A26" s="123" t="str">
        <x:f>'Assessment'!A26</x:f>
        <x:v>S021</x:v>
      </x:c>
      <x:c r="B26" s="123" t="str">
        <x:f>'Assessment'!B26</x:f>
        <x:v>3 User Access</x:v>
      </x:c>
      <x:c r="C26" s="123" t="str">
        <x:f>'Assessment'!M26</x:f>
        <x:v>Unscored</x:v>
      </x:c>
      <x:c r="D26" s="124" t="str">
        <x:f>'Assessment'!G26</x:f>
        <x:v>Every member completes orientation, accepts conduct rules, and signs required agreements before access.</x:v>
      </x:c>
      <x:c r="E26" s="123" t="str">
        <x:f>IF('Assessment'!I26="","",'Assessment'!I26)</x:f>
      </x:c>
      <x:c r="F26" s="123" t="str">
        <x:f>'Assessment'!L26</x:f>
      </x:c>
      <x:c r="G26" s="123" t="str">
        <x:f>'Assessment'!K26</x:f>
        <x:v>No</x:v>
      </x:c>
      <x:c r="H26" s="123" t="n">
        <x:f>'Assessment'!N26</x:f>
        <x:v>0</x:v>
      </x:c>
      <x:c r="I26" s="154" t="str">
        <x:f>IF('Assessment'!O26="","",'Assessment'!O26)</x:f>
      </x:c>
      <x:c r="J26" s="124" t="n">
        <x:f>'Assessment'!P26</x:f>
        <x:v>0</x:v>
      </x:c>
      <x:c r="K26" s="123" t="str">
        <x:f>IF(AND('Assessment'!F26="Yes",OR('Assessment'!I26="",'Assessment'!L26&gt;0,'Assessment'!K26="No")),"Yes","No")</x:f>
        <x:v>Yes</x:v>
      </x:c>
    </x:row>
    <x:row r="27" ht="42" customHeight="1">
      <x:c r="A27" s="123" t="str">
        <x:f>'Assessment'!A27</x:f>
        <x:v>S022</x:v>
      </x:c>
      <x:c r="B27" s="123" t="str">
        <x:f>'Assessment'!B27</x:f>
        <x:v>3 User Access</x:v>
      </x:c>
      <x:c r="C27" s="123" t="str">
        <x:f>'Assessment'!M27</x:f>
        <x:v>Unscored</x:v>
      </x:c>
      <x:c r="D27" s="124" t="str">
        <x:f>'Assessment'!G27</x:f>
        <x:v>Restricted tools require verified practical training before independent use.</x:v>
      </x:c>
      <x:c r="E27" s="123" t="str">
        <x:f>IF('Assessment'!I27="","",'Assessment'!I27)</x:f>
      </x:c>
      <x:c r="F27" s="123" t="str">
        <x:f>'Assessment'!L27</x:f>
      </x:c>
      <x:c r="G27" s="123" t="str">
        <x:f>'Assessment'!K27</x:f>
        <x:v>No</x:v>
      </x:c>
      <x:c r="H27" s="123" t="n">
        <x:f>'Assessment'!N27</x:f>
        <x:v>0</x:v>
      </x:c>
      <x:c r="I27" s="154" t="str">
        <x:f>IF('Assessment'!O27="","",'Assessment'!O27)</x:f>
      </x:c>
      <x:c r="J27" s="124" t="n">
        <x:f>'Assessment'!P27</x:f>
        <x:v>0</x:v>
      </x:c>
      <x:c r="K27" s="123" t="str">
        <x:f>IF(AND('Assessment'!F27="Yes",OR('Assessment'!I27="",'Assessment'!L27&gt;0,'Assessment'!K27="No")),"Yes","No")</x:f>
        <x:v>Yes</x:v>
      </x:c>
    </x:row>
    <x:row r="28" ht="42" customHeight="1">
      <x:c r="A28" s="123" t="str">
        <x:f>'Assessment'!A28</x:f>
        <x:v>S023</x:v>
      </x:c>
      <x:c r="B28" s="123" t="str">
        <x:f>'Assessment'!B28</x:f>
        <x:v>3 User Access</x:v>
      </x:c>
      <x:c r="C28" s="123" t="str">
        <x:f>'Assessment'!M28</x:f>
        <x:v>Unscored</x:v>
      </x:c>
      <x:c r="D28" s="124" t="str">
        <x:f>'Assessment'!G28</x:f>
        <x:v>Digital or auditable credentials control tool and facility access and can be suspended promptly.</x:v>
      </x:c>
      <x:c r="E28" s="123" t="str">
        <x:f>IF('Assessment'!I28="","",'Assessment'!I28)</x:f>
      </x:c>
      <x:c r="F28" s="123" t="str">
        <x:f>'Assessment'!L28</x:f>
      </x:c>
      <x:c r="G28" s="123" t="str">
        <x:f>'Assessment'!K28</x:f>
        <x:v>No</x:v>
      </x:c>
      <x:c r="H28" s="123" t="n">
        <x:f>'Assessment'!N28</x:f>
        <x:v>0</x:v>
      </x:c>
      <x:c r="I28" s="154" t="str">
        <x:f>IF('Assessment'!O28="","",'Assessment'!O28)</x:f>
      </x:c>
      <x:c r="J28" s="124" t="n">
        <x:f>'Assessment'!P28</x:f>
        <x:v>0</x:v>
      </x:c>
      <x:c r="K28" s="123" t="str">
        <x:f>IF(AND('Assessment'!F28="Yes",OR('Assessment'!I28="",'Assessment'!L28&gt;0,'Assessment'!K28="No")),"Yes","No")</x:f>
        <x:v>Yes</x:v>
      </x:c>
    </x:row>
    <x:row r="29" ht="42" customHeight="1">
      <x:c r="A29" s="123" t="str">
        <x:f>'Assessment'!A29</x:f>
        <x:v>S024</x:v>
      </x:c>
      <x:c r="B29" s="123" t="str">
        <x:f>'Assessment'!B29</x:f>
        <x:v>3 User Access</x:v>
      </x:c>
      <x:c r="C29" s="123" t="str">
        <x:f>'Assessment'!M29</x:f>
        <x:v>Unscored</x:v>
      </x:c>
      <x:c r="D29" s="124" t="str">
        <x:f>'Assessment'!G29</x:f>
        <x:v>Dues, holds, guests, refunds, accessibility accommodations, and termination rules are transparent.</x:v>
      </x:c>
      <x:c r="E29" s="123" t="str">
        <x:f>IF('Assessment'!I29="","",'Assessment'!I29)</x:f>
      </x:c>
      <x:c r="F29" s="123" t="str">
        <x:f>'Assessment'!L29</x:f>
      </x:c>
      <x:c r="G29" s="123" t="str">
        <x:f>'Assessment'!K29</x:f>
        <x:v>No</x:v>
      </x:c>
      <x:c r="H29" s="123" t="n">
        <x:f>'Assessment'!N29</x:f>
        <x:v>0</x:v>
      </x:c>
      <x:c r="I29" s="154" t="str">
        <x:f>IF('Assessment'!O29="","",'Assessment'!O29)</x:f>
      </x:c>
      <x:c r="J29" s="124" t="n">
        <x:f>'Assessment'!P29</x:f>
        <x:v>0</x:v>
      </x:c>
      <x:c r="K29" s="123" t="str">
        <x:f>IF(AND('Assessment'!F29="Yes",OR('Assessment'!I29="",'Assessment'!L29&gt;0,'Assessment'!K29="No")),"Yes","No")</x:f>
        <x:v>Yes</x:v>
      </x:c>
    </x:row>
    <x:row r="30" ht="42" customHeight="1">
      <x:c r="A30" s="123" t="str">
        <x:f>'Assessment'!A30</x:f>
        <x:v>S025</x:v>
      </x:c>
      <x:c r="B30" s="123" t="str">
        <x:f>'Assessment'!B30</x:f>
        <x:v>3 User Access</x:v>
      </x:c>
      <x:c r="C30" s="123" t="str">
        <x:f>'Assessment'!M30</x:f>
        <x:v>Unscored</x:v>
      </x:c>
      <x:c r="D30" s="124" t="str">
        <x:f>'Assessment'!G30</x:f>
        <x:v>Conduct and disciplinary procedures provide reporting, fair review, documentation, and proportionate action.</x:v>
      </x:c>
      <x:c r="E30" s="123" t="str">
        <x:f>IF('Assessment'!I30="","",'Assessment'!I30)</x:f>
      </x:c>
      <x:c r="F30" s="123" t="str">
        <x:f>'Assessment'!L30</x:f>
      </x:c>
      <x:c r="G30" s="123" t="str">
        <x:f>'Assessment'!K30</x:f>
        <x:v>No</x:v>
      </x:c>
      <x:c r="H30" s="123" t="n">
        <x:f>'Assessment'!N30</x:f>
        <x:v>0</x:v>
      </x:c>
      <x:c r="I30" s="154" t="str">
        <x:f>IF('Assessment'!O30="","",'Assessment'!O30)</x:f>
      </x:c>
      <x:c r="J30" s="124" t="n">
        <x:f>'Assessment'!P30</x:f>
        <x:v>0</x:v>
      </x:c>
      <x:c r="K30" s="123" t="str">
        <x:f>IF(AND('Assessment'!F30="Yes",OR('Assessment'!I30="",'Assessment'!L30&gt;0,'Assessment'!K30="No")),"Yes","No")</x:f>
        <x:v>Yes</x:v>
      </x:c>
    </x:row>
    <x:row r="31" ht="42" customHeight="1">
      <x:c r="A31" s="123" t="str">
        <x:f>'Assessment'!A31</x:f>
        <x:v>S026</x:v>
      </x:c>
      <x:c r="B31" s="123" t="str">
        <x:f>'Assessment'!B31</x:f>
        <x:v>3 User Access</x:v>
      </x:c>
      <x:c r="C31" s="123" t="str">
        <x:f>'Assessment'!M31</x:f>
        <x:v>Unscored</x:v>
      </x:c>
      <x:c r="D31" s="124" t="str">
        <x:f>'Assessment'!G31</x:f>
        <x:v>Credential quality is periodically reviewed and portable credentials are accepted only through defined equivalency rules.</x:v>
      </x:c>
      <x:c r="E31" s="123" t="str">
        <x:f>IF('Assessment'!I31="","",'Assessment'!I31)</x:f>
      </x:c>
      <x:c r="F31" s="123" t="str">
        <x:f>'Assessment'!L31</x:f>
      </x:c>
      <x:c r="G31" s="123" t="str">
        <x:f>'Assessment'!K31</x:f>
        <x:v>No</x:v>
      </x:c>
      <x:c r="H31" s="123" t="n">
        <x:f>'Assessment'!N31</x:f>
        <x:v>0</x:v>
      </x:c>
      <x:c r="I31" s="154" t="str">
        <x:f>IF('Assessment'!O31="","",'Assessment'!O31)</x:f>
      </x:c>
      <x:c r="J31" s="124" t="n">
        <x:f>'Assessment'!P31</x:f>
        <x:v>0</x:v>
      </x:c>
      <x:c r="K31" s="123" t="str">
        <x:f>IF(AND('Assessment'!F31="Yes",OR('Assessment'!I31="",'Assessment'!L31&gt;0,'Assessment'!K31="No")),"Yes","No")</x:f>
        <x:v>Yes</x:v>
      </x:c>
    </x:row>
    <x:row r="32" ht="42" customHeight="1">
      <x:c r="A32" s="123" t="str">
        <x:f>'Assessment'!A32</x:f>
        <x:v>S027</x:v>
      </x:c>
      <x:c r="B32" s="123" t="str">
        <x:f>'Assessment'!B32</x:f>
        <x:v>3 User Access</x:v>
      </x:c>
      <x:c r="C32" s="123" t="str">
        <x:f>'Assessment'!M32</x:f>
        <x:v>N/A</x:v>
      </x:c>
      <x:c r="D32" s="124" t="str">
        <x:f>'Assessment'!G32</x:f>
        <x:v>Visitors register, accept safety/conduct rules, and remain within defined access boundaries.</x:v>
      </x:c>
      <x:c r="E32" s="123" t="str">
        <x:f>IF('Assessment'!I32="","",'Assessment'!I32)</x:f>
      </x:c>
      <x:c r="F32" s="123" t="str">
        <x:f>'Assessment'!L32</x:f>
      </x:c>
      <x:c r="G32" s="123" t="str">
        <x:f>'Assessment'!K32</x:f>
        <x:v>N/A</x:v>
      </x:c>
      <x:c r="H32" s="123" t="n">
        <x:f>'Assessment'!N32</x:f>
        <x:v>0</x:v>
      </x:c>
      <x:c r="I32" s="154" t="str">
        <x:f>IF('Assessment'!O32="","",'Assessment'!O32)</x:f>
      </x:c>
      <x:c r="J32" s="124" t="n">
        <x:f>'Assessment'!P32</x:f>
        <x:v>0</x:v>
      </x:c>
      <x:c r="K32" s="123" t="str">
        <x:f>IF(AND('Assessment'!F32="Yes",OR('Assessment'!I32="",'Assessment'!L32&gt;0,'Assessment'!K32="No")),"Yes","No")</x:f>
        <x:v>No</x:v>
      </x:c>
    </x:row>
    <x:row r="33" ht="42" customHeight="1">
      <x:c r="A33" s="123" t="str">
        <x:f>'Assessment'!A33</x:f>
        <x:v>S028</x:v>
      </x:c>
      <x:c r="B33" s="123" t="str">
        <x:f>'Assessment'!B33</x:f>
        <x:v>3 User Access</x:v>
      </x:c>
      <x:c r="C33" s="123" t="str">
        <x:f>'Assessment'!M33</x:f>
        <x:v>N/A</x:v>
      </x:c>
      <x:c r="D33" s="124" t="str">
        <x:f>'Assessment'!G33</x:f>
        <x:v>Staffing and supervision levels match the hazards available during public access.</x:v>
      </x:c>
      <x:c r="E33" s="123" t="str">
        <x:f>IF('Assessment'!I33="","",'Assessment'!I33)</x:f>
      </x:c>
      <x:c r="F33" s="123" t="str">
        <x:f>'Assessment'!L33</x:f>
      </x:c>
      <x:c r="G33" s="123" t="str">
        <x:f>'Assessment'!K33</x:f>
        <x:v>N/A</x:v>
      </x:c>
      <x:c r="H33" s="123" t="n">
        <x:f>'Assessment'!N33</x:f>
        <x:v>0</x:v>
      </x:c>
      <x:c r="I33" s="154" t="str">
        <x:f>IF('Assessment'!O33="","",'Assessment'!O33)</x:f>
      </x:c>
      <x:c r="J33" s="124" t="n">
        <x:f>'Assessment'!P33</x:f>
        <x:v>0</x:v>
      </x:c>
      <x:c r="K33" s="123" t="str">
        <x:f>IF(AND('Assessment'!F33="Yes",OR('Assessment'!I33="",'Assessment'!L33&gt;0,'Assessment'!K33="No")),"Yes","No")</x:f>
        <x:v>No</x:v>
      </x:c>
    </x:row>
    <x:row r="34" ht="42" customHeight="1">
      <x:c r="A34" s="123" t="str">
        <x:f>'Assessment'!A34</x:f>
        <x:v>S029</x:v>
      </x:c>
      <x:c r="B34" s="123" t="str">
        <x:f>'Assessment'!B34</x:f>
        <x:v>3 User Access</x:v>
      </x:c>
      <x:c r="C34" s="123" t="str">
        <x:f>'Assessment'!M34</x:f>
        <x:v>N/A</x:v>
      </x:c>
      <x:c r="D34" s="124" t="str">
        <x:f>'Assessment'!G34</x:f>
        <x:v>Point-of-use authorization or verified workshop credentials govern restricted equipment use.</x:v>
      </x:c>
      <x:c r="E34" s="123" t="str">
        <x:f>IF('Assessment'!I34="","",'Assessment'!I34)</x:f>
      </x:c>
      <x:c r="F34" s="123" t="str">
        <x:f>'Assessment'!L34</x:f>
      </x:c>
      <x:c r="G34" s="123" t="str">
        <x:f>'Assessment'!K34</x:f>
        <x:v>N/A</x:v>
      </x:c>
      <x:c r="H34" s="123" t="n">
        <x:f>'Assessment'!N34</x:f>
        <x:v>0</x:v>
      </x:c>
      <x:c r="I34" s="154" t="str">
        <x:f>IF('Assessment'!O34="","",'Assessment'!O34)</x:f>
      </x:c>
      <x:c r="J34" s="124" t="n">
        <x:f>'Assessment'!P34</x:f>
        <x:v>0</x:v>
      </x:c>
      <x:c r="K34" s="123" t="str">
        <x:f>IF(AND('Assessment'!F34="Yes",OR('Assessment'!I34="",'Assessment'!L34&gt;0,'Assessment'!K34="No")),"Yes","No")</x:f>
        <x:v>No</x:v>
      </x:c>
    </x:row>
    <x:row r="35" ht="42" customHeight="1">
      <x:c r="A35" s="123" t="str">
        <x:f>'Assessment'!A35</x:f>
        <x:v>S030</x:v>
      </x:c>
      <x:c r="B35" s="123" t="str">
        <x:f>'Assessment'!B35</x:f>
        <x:v>3 User Access</x:v>
      </x:c>
      <x:c r="C35" s="123" t="str">
        <x:f>'Assessment'!M35</x:f>
        <x:v>N/A</x:v>
      </x:c>
      <x:c r="D35" s="124" t="str">
        <x:f>'Assessment'!G35</x:f>
        <x:v>Accessible pathways help repeat visitors advance from introduction to independent capability.</x:v>
      </x:c>
      <x:c r="E35" s="123" t="str">
        <x:f>IF('Assessment'!I35="","",'Assessment'!I35)</x:f>
      </x:c>
      <x:c r="F35" s="123" t="str">
        <x:f>'Assessment'!L35</x:f>
      </x:c>
      <x:c r="G35" s="123" t="str">
        <x:f>'Assessment'!K35</x:f>
        <x:v>N/A</x:v>
      </x:c>
      <x:c r="H35" s="123" t="n">
        <x:f>'Assessment'!N35</x:f>
        <x:v>0</x:v>
      </x:c>
      <x:c r="I35" s="154" t="str">
        <x:f>IF('Assessment'!O35="","",'Assessment'!O35)</x:f>
      </x:c>
      <x:c r="J35" s="124" t="n">
        <x:f>'Assessment'!P35</x:f>
        <x:v>0</x:v>
      </x:c>
      <x:c r="K35" s="123" t="str">
        <x:f>IF(AND('Assessment'!F35="Yes",OR('Assessment'!I35="",'Assessment'!L35&gt;0,'Assessment'!K35="No")),"Yes","No")</x:f>
        <x:v>No</x:v>
      </x:c>
    </x:row>
    <x:row r="36" ht="42" customHeight="1">
      <x:c r="A36" s="123" t="str">
        <x:f>'Assessment'!A36</x:f>
        <x:v>S031</x:v>
      </x:c>
      <x:c r="B36" s="123" t="str">
        <x:f>'Assessment'!B36</x:f>
        <x:v>3 User Access</x:v>
      </x:c>
      <x:c r="C36" s="123" t="str">
        <x:f>'Assessment'!M36</x:f>
        <x:v>N/A</x:v>
      </x:c>
      <x:c r="D36" s="124" t="str">
        <x:f>'Assessment'!G36</x:f>
        <x:v>Public-access data and feedback are reviewed to improve hours, staffing, access, and instruction.</x:v>
      </x:c>
      <x:c r="E36" s="123" t="str">
        <x:f>IF('Assessment'!I36="","",'Assessment'!I36)</x:f>
      </x:c>
      <x:c r="F36" s="123" t="str">
        <x:f>'Assessment'!L36</x:f>
      </x:c>
      <x:c r="G36" s="123" t="str">
        <x:f>'Assessment'!K36</x:f>
        <x:v>N/A</x:v>
      </x:c>
      <x:c r="H36" s="123" t="n">
        <x:f>'Assessment'!N36</x:f>
        <x:v>0</x:v>
      </x:c>
      <x:c r="I36" s="154" t="str">
        <x:f>IF('Assessment'!O36="","",'Assessment'!O36)</x:f>
      </x:c>
      <x:c r="J36" s="124" t="n">
        <x:f>'Assessment'!P36</x:f>
        <x:v>0</x:v>
      </x:c>
      <x:c r="K36" s="123" t="str">
        <x:f>IF(AND('Assessment'!F36="Yes",OR('Assessment'!I36="",'Assessment'!L36&gt;0,'Assessment'!K36="No")),"Yes","No")</x:f>
        <x:v>No</x:v>
      </x:c>
    </x:row>
    <x:row r="37" ht="42" customHeight="1">
      <x:c r="A37" s="123" t="str">
        <x:f>'Assessment'!A37</x:f>
        <x:v>S032</x:v>
      </x:c>
      <x:c r="B37" s="123" t="str">
        <x:f>'Assessment'!B37</x:f>
        <x:v>4 Facility &amp; Assets</x:v>
      </x:c>
      <x:c r="C37" s="123" t="str">
        <x:f>'Assessment'!M37</x:f>
        <x:v>Unscored</x:v>
      </x:c>
      <x:c r="D37" s="124" t="str">
        <x:f>'Assessment'!G37</x:f>
        <x:v>A current inventory identifies major equipment, location, status, and responsible lead.</x:v>
      </x:c>
      <x:c r="E37" s="123" t="str">
        <x:f>IF('Assessment'!I37="","",'Assessment'!I37)</x:f>
      </x:c>
      <x:c r="F37" s="123" t="str">
        <x:f>'Assessment'!L37</x:f>
      </x:c>
      <x:c r="G37" s="123" t="str">
        <x:f>'Assessment'!K37</x:f>
        <x:v>No</x:v>
      </x:c>
      <x:c r="H37" s="123" t="n">
        <x:f>'Assessment'!N37</x:f>
        <x:v>0</x:v>
      </x:c>
      <x:c r="I37" s="154" t="str">
        <x:f>IF('Assessment'!O37="","",'Assessment'!O37)</x:f>
      </x:c>
      <x:c r="J37" s="124" t="n">
        <x:f>'Assessment'!P37</x:f>
        <x:v>0</x:v>
      </x:c>
      <x:c r="K37" s="123" t="str">
        <x:f>IF(AND('Assessment'!F37="Yes",OR('Assessment'!I37="",'Assessment'!L37&gt;0,'Assessment'!K37="No")),"Yes","No")</x:f>
        <x:v>Yes</x:v>
      </x:c>
    </x:row>
    <x:row r="38" ht="42" customHeight="1">
      <x:c r="A38" s="123" t="str">
        <x:f>'Assessment'!A38</x:f>
        <x:v>S033</x:v>
      </x:c>
      <x:c r="B38" s="123" t="str">
        <x:f>'Assessment'!B38</x:f>
        <x:v>4 Facility &amp; Assets</x:v>
      </x:c>
      <x:c r="C38" s="123" t="str">
        <x:f>'Assessment'!M38</x:f>
        <x:v>Unscored</x:v>
      </x:c>
      <x:c r="D38" s="124" t="str">
        <x:f>'Assessment'!G38</x:f>
        <x:v>Unsafe equipment is clearly locked out and cannot return to service without authorization.</x:v>
      </x:c>
      <x:c r="E38" s="123" t="str">
        <x:f>IF('Assessment'!I38="","",'Assessment'!I38)</x:f>
      </x:c>
      <x:c r="F38" s="123" t="str">
        <x:f>'Assessment'!L38</x:f>
      </x:c>
      <x:c r="G38" s="123" t="str">
        <x:f>'Assessment'!K38</x:f>
        <x:v>No</x:v>
      </x:c>
      <x:c r="H38" s="123" t="n">
        <x:f>'Assessment'!N38</x:f>
        <x:v>0</x:v>
      </x:c>
      <x:c r="I38" s="154" t="str">
        <x:f>IF('Assessment'!O38="","",'Assessment'!O38)</x:f>
      </x:c>
      <x:c r="J38" s="124" t="n">
        <x:f>'Assessment'!P38</x:f>
        <x:v>0</x:v>
      </x:c>
      <x:c r="K38" s="123" t="str">
        <x:f>IF(AND('Assessment'!F38="Yes",OR('Assessment'!I38="",'Assessment'!L38&gt;0,'Assessment'!K38="No")),"Yes","No")</x:f>
        <x:v>Yes</x:v>
      </x:c>
    </x:row>
    <x:row r="39" ht="42" customHeight="1">
      <x:c r="A39" s="123" t="str">
        <x:f>'Assessment'!A39</x:f>
        <x:v>S034</x:v>
      </x:c>
      <x:c r="B39" s="123" t="str">
        <x:f>'Assessment'!B39</x:f>
        <x:v>4 Facility &amp; Assets</x:v>
      </x:c>
      <x:c r="C39" s="123" t="str">
        <x:f>'Assessment'!M39</x:f>
        <x:v>Unscored</x:v>
      </x:c>
      <x:c r="D39" s="124" t="str">
        <x:f>'Assessment'!G39</x:f>
        <x:v>Preventive maintenance schedules reflect manufacturer guidance, use, and risk.</x:v>
      </x:c>
      <x:c r="E39" s="123" t="str">
        <x:f>IF('Assessment'!I39="","",'Assessment'!I39)</x:f>
      </x:c>
      <x:c r="F39" s="123" t="str">
        <x:f>'Assessment'!L39</x:f>
      </x:c>
      <x:c r="G39" s="123" t="str">
        <x:f>'Assessment'!K39</x:f>
        <x:v>No</x:v>
      </x:c>
      <x:c r="H39" s="123" t="n">
        <x:f>'Assessment'!N39</x:f>
        <x:v>0</x:v>
      </x:c>
      <x:c r="I39" s="154" t="str">
        <x:f>IF('Assessment'!O39="","",'Assessment'!O39)</x:f>
      </x:c>
      <x:c r="J39" s="124" t="n">
        <x:f>'Assessment'!P39</x:f>
        <x:v>0</x:v>
      </x:c>
      <x:c r="K39" s="123" t="str">
        <x:f>IF(AND('Assessment'!F39="Yes",OR('Assessment'!I39="",'Assessment'!L39&gt;0,'Assessment'!K39="No")),"Yes","No")</x:f>
        <x:v>Yes</x:v>
      </x:c>
    </x:row>
    <x:row r="40" ht="42" customHeight="1">
      <x:c r="A40" s="123" t="str">
        <x:f>'Assessment'!A40</x:f>
        <x:v>S035</x:v>
      </x:c>
      <x:c r="B40" s="123" t="str">
        <x:f>'Assessment'!B40</x:f>
        <x:v>4 Facility &amp; Assets</x:v>
      </x:c>
      <x:c r="C40" s="123" t="str">
        <x:f>'Assessment'!M40</x:f>
        <x:v>Unscored</x:v>
      </x:c>
      <x:c r="D40" s="124" t="str">
        <x:f>'Assessment'!G40</x:f>
        <x:v>Original manuals, warranties, leases, insurance, access-control configuration, and critical records are securely backed up.</x:v>
      </x:c>
      <x:c r="E40" s="123" t="str">
        <x:f>IF('Assessment'!I40="","",'Assessment'!I40)</x:f>
      </x:c>
      <x:c r="F40" s="123" t="str">
        <x:f>'Assessment'!L40</x:f>
      </x:c>
      <x:c r="G40" s="123" t="str">
        <x:f>'Assessment'!K40</x:f>
        <x:v>No</x:v>
      </x:c>
      <x:c r="H40" s="123" t="n">
        <x:f>'Assessment'!N40</x:f>
        <x:v>0</x:v>
      </x:c>
      <x:c r="I40" s="154" t="str">
        <x:f>IF('Assessment'!O40="","",'Assessment'!O40)</x:f>
      </x:c>
      <x:c r="J40" s="124" t="n">
        <x:f>'Assessment'!P40</x:f>
        <x:v>0</x:v>
      </x:c>
      <x:c r="K40" s="123" t="str">
        <x:f>IF(AND('Assessment'!F40="Yes",OR('Assessment'!I40="",'Assessment'!L40&gt;0,'Assessment'!K40="No")),"Yes","No")</x:f>
        <x:v>Yes</x:v>
      </x:c>
    </x:row>
    <x:row r="41" ht="42" customHeight="1">
      <x:c r="A41" s="123" t="str">
        <x:f>'Assessment'!A41</x:f>
        <x:v>S036</x:v>
      </x:c>
      <x:c r="B41" s="123" t="str">
        <x:f>'Assessment'!B41</x:f>
        <x:v>4 Facility &amp; Assets</x:v>
      </x:c>
      <x:c r="C41" s="123" t="str">
        <x:f>'Assessment'!M41</x:f>
        <x:v>Unscored</x:v>
      </x:c>
      <x:c r="D41" s="124" t="str">
        <x:f>'Assessment'!G41</x:f>
        <x:v>Shop inspections verify egress, storage, guards, utilities, ventilation, and housekeeping.</x:v>
      </x:c>
      <x:c r="E41" s="123" t="str">
        <x:f>IF('Assessment'!I41="","",'Assessment'!I41)</x:f>
      </x:c>
      <x:c r="F41" s="123" t="str">
        <x:f>'Assessment'!L41</x:f>
      </x:c>
      <x:c r="G41" s="123" t="str">
        <x:f>'Assessment'!K41</x:f>
        <x:v>No</x:v>
      </x:c>
      <x:c r="H41" s="123" t="n">
        <x:f>'Assessment'!N41</x:f>
        <x:v>0</x:v>
      </x:c>
      <x:c r="I41" s="154" t="str">
        <x:f>IF('Assessment'!O41="","",'Assessment'!O41)</x:f>
      </x:c>
      <x:c r="J41" s="124" t="n">
        <x:f>'Assessment'!P41</x:f>
        <x:v>0</x:v>
      </x:c>
      <x:c r="K41" s="123" t="str">
        <x:f>IF(AND('Assessment'!F41="Yes",OR('Assessment'!I41="",'Assessment'!L41&gt;0,'Assessment'!K41="No")),"Yes","No")</x:f>
        <x:v>Yes</x:v>
      </x:c>
    </x:row>
    <x:row r="42" ht="42" customHeight="1">
      <x:c r="A42" s="123" t="str">
        <x:f>'Assessment'!A42</x:f>
        <x:v>S037</x:v>
      </x:c>
      <x:c r="B42" s="123" t="str">
        <x:f>'Assessment'!B42</x:f>
        <x:v>4 Facility &amp; Assets</x:v>
      </x:c>
      <x:c r="C42" s="123" t="str">
        <x:f>'Assessment'!M42</x:f>
        <x:v>Unscored</x:v>
      </x:c>
      <x:c r="D42" s="124" t="str">
        <x:f>'Assessment'!G42</x:f>
        <x:v>Critical digital services have named owners, backups, recovery instructions, and controlled administrator access.</x:v>
      </x:c>
      <x:c r="E42" s="123" t="str">
        <x:f>IF('Assessment'!I42="","",'Assessment'!I42)</x:f>
      </x:c>
      <x:c r="F42" s="123" t="str">
        <x:f>'Assessment'!L42</x:f>
      </x:c>
      <x:c r="G42" s="123" t="str">
        <x:f>'Assessment'!K42</x:f>
        <x:v>No</x:v>
      </x:c>
      <x:c r="H42" s="123" t="n">
        <x:f>'Assessment'!N42</x:f>
        <x:v>0</x:v>
      </x:c>
      <x:c r="I42" s="154" t="str">
        <x:f>IF('Assessment'!O42="","",'Assessment'!O42)</x:f>
      </x:c>
      <x:c r="J42" s="124" t="n">
        <x:f>'Assessment'!P42</x:f>
        <x:v>0</x:v>
      </x:c>
      <x:c r="K42" s="123" t="str">
        <x:f>IF(AND('Assessment'!F42="Yes",OR('Assessment'!I42="",'Assessment'!L42&gt;0,'Assessment'!K42="No")),"Yes","No")</x:f>
        <x:v>Yes</x:v>
      </x:c>
    </x:row>
    <x:row r="43" ht="42" customHeight="1">
      <x:c r="A43" s="123" t="str">
        <x:f>'Assessment'!A43</x:f>
        <x:v>S038</x:v>
      </x:c>
      <x:c r="B43" s="123" t="str">
        <x:f>'Assessment'!B43</x:f>
        <x:v>4 Facility &amp; Assets</x:v>
      </x:c>
      <x:c r="C43" s="123" t="str">
        <x:f>'Assessment'!M43</x:f>
        <x:v>Unscored</x:v>
      </x:c>
      <x:c r="D43" s="124" t="str">
        <x:f>'Assessment'!G43</x:f>
        <x:v>Annual asset audits reconcile inventory, condition, maintenance, training controls, and replacement needs.</x:v>
      </x:c>
      <x:c r="E43" s="123" t="str">
        <x:f>IF('Assessment'!I43="","",'Assessment'!I43)</x:f>
      </x:c>
      <x:c r="F43" s="123" t="str">
        <x:f>'Assessment'!L43</x:f>
      </x:c>
      <x:c r="G43" s="123" t="str">
        <x:f>'Assessment'!K43</x:f>
        <x:v>No</x:v>
      </x:c>
      <x:c r="H43" s="123" t="n">
        <x:f>'Assessment'!N43</x:f>
        <x:v>0</x:v>
      </x:c>
      <x:c r="I43" s="154" t="str">
        <x:f>IF('Assessment'!O43="","",'Assessment'!O43)</x:f>
      </x:c>
      <x:c r="J43" s="124" t="n">
        <x:f>'Assessment'!P43</x:f>
        <x:v>0</x:v>
      </x:c>
      <x:c r="K43" s="123" t="str">
        <x:f>IF(AND('Assessment'!F43="Yes",OR('Assessment'!I43="",'Assessment'!L43&gt;0,'Assessment'!K43="No")),"Yes","No")</x:f>
        <x:v>Yes</x:v>
      </x:c>
    </x:row>
    <x:row r="44" ht="42" customHeight="1">
      <x:c r="A44" s="123" t="str">
        <x:f>'Assessment'!A44</x:f>
        <x:v>S039</x:v>
      </x:c>
      <x:c r="B44" s="123" t="str">
        <x:f>'Assessment'!B44</x:f>
        <x:v>4 Facility &amp; Assets</x:v>
      </x:c>
      <x:c r="C44" s="123" t="str">
        <x:f>'Assessment'!M44</x:f>
        <x:v>Unscored</x:v>
      </x:c>
      <x:c r="D44" s="124" t="str">
        <x:f>'Assessment'!G44</x:f>
        <x:v>A board-designated capital replacement plan and reserve reflect documented lifecycle needs.</x:v>
      </x:c>
      <x:c r="E44" s="123" t="str">
        <x:f>IF('Assessment'!I44="","",'Assessment'!I44)</x:f>
      </x:c>
      <x:c r="F44" s="123" t="str">
        <x:f>'Assessment'!L44</x:f>
      </x:c>
      <x:c r="G44" s="123" t="str">
        <x:f>'Assessment'!K44</x:f>
        <x:v>No</x:v>
      </x:c>
      <x:c r="H44" s="123" t="n">
        <x:f>'Assessment'!N44</x:f>
        <x:v>0</x:v>
      </x:c>
      <x:c r="I44" s="154" t="str">
        <x:f>IF('Assessment'!O44="","",'Assessment'!O44)</x:f>
      </x:c>
      <x:c r="J44" s="124" t="n">
        <x:f>'Assessment'!P44</x:f>
        <x:v>0</x:v>
      </x:c>
      <x:c r="K44" s="123" t="str">
        <x:f>IF(AND('Assessment'!F44="Yes",OR('Assessment'!I44="",'Assessment'!L44&gt;0,'Assessment'!K44="No")),"Yes","No")</x:f>
        <x:v>Yes</x:v>
      </x:c>
    </x:row>
    <x:row r="45" ht="42" customHeight="1">
      <x:c r="A45" s="123" t="str">
        <x:f>'Assessment'!A45</x:f>
        <x:v>S040</x:v>
      </x:c>
      <x:c r="B45" s="123" t="str">
        <x:f>'Assessment'!B45</x:f>
        <x:v>5 Finance &amp; People</x:v>
      </x:c>
      <x:c r="C45" s="123" t="str">
        <x:f>'Assessment'!M45</x:f>
        <x:v>Unscored</x:v>
      </x:c>
      <x:c r="D45" s="124" t="str">
        <x:f>'Assessment'!G45</x:f>
        <x:v>Board approves an annual budget and reviews timely budget-to-actual, balance sheet, and cash information.</x:v>
      </x:c>
      <x:c r="E45" s="123" t="str">
        <x:f>IF('Assessment'!I45="","",'Assessment'!I45)</x:f>
      </x:c>
      <x:c r="F45" s="123" t="str">
        <x:f>'Assessment'!L45</x:f>
      </x:c>
      <x:c r="G45" s="123" t="str">
        <x:f>'Assessment'!K45</x:f>
        <x:v>No</x:v>
      </x:c>
      <x:c r="H45" s="123" t="n">
        <x:f>'Assessment'!N45</x:f>
        <x:v>0</x:v>
      </x:c>
      <x:c r="I45" s="154" t="str">
        <x:f>IF('Assessment'!O45="","",'Assessment'!O45)</x:f>
      </x:c>
      <x:c r="J45" s="124" t="n">
        <x:f>'Assessment'!P45</x:f>
        <x:v>0</x:v>
      </x:c>
      <x:c r="K45" s="123" t="str">
        <x:f>IF(AND('Assessment'!F45="Yes",OR('Assessment'!I45="",'Assessment'!L45&gt;0,'Assessment'!K45="No")),"Yes","No")</x:f>
        <x:v>Yes</x:v>
      </x:c>
    </x:row>
    <x:row r="46" ht="42" customHeight="1">
      <x:c r="A46" s="123" t="str">
        <x:f>'Assessment'!A46</x:f>
        <x:v>S041</x:v>
      </x:c>
      <x:c r="B46" s="123" t="str">
        <x:f>'Assessment'!B46</x:f>
        <x:v>5 Finance &amp; People</x:v>
      </x:c>
      <x:c r="C46" s="123" t="str">
        <x:f>'Assessment'!M46</x:f>
        <x:v>Unscored</x:v>
      </x:c>
      <x:c r="D46" s="124" t="str">
        <x:f>'Assessment'!G46</x:f>
        <x:v>Financial duties are separated or compensating controls are documented for receipts, payments, payroll, and reconciliation.</x:v>
      </x:c>
      <x:c r="E46" s="123" t="str">
        <x:f>IF('Assessment'!I46="","",'Assessment'!I46)</x:f>
      </x:c>
      <x:c r="F46" s="123" t="str">
        <x:f>'Assessment'!L46</x:f>
      </x:c>
      <x:c r="G46" s="123" t="str">
        <x:f>'Assessment'!K46</x:f>
        <x:v>No</x:v>
      </x:c>
      <x:c r="H46" s="123" t="n">
        <x:f>'Assessment'!N46</x:f>
        <x:v>0</x:v>
      </x:c>
      <x:c r="I46" s="154" t="str">
        <x:f>IF('Assessment'!O46="","",'Assessment'!O46)</x:f>
      </x:c>
      <x:c r="J46" s="124" t="n">
        <x:f>'Assessment'!P46</x:f>
        <x:v>0</x:v>
      </x:c>
      <x:c r="K46" s="123" t="str">
        <x:f>IF(AND('Assessment'!F46="Yes",OR('Assessment'!I46="",'Assessment'!L46&gt;0,'Assessment'!K46="No")),"Yes","No")</x:f>
        <x:v>Yes</x:v>
      </x:c>
    </x:row>
    <x:row r="47" ht="42" customHeight="1">
      <x:c r="A47" s="123" t="str">
        <x:f>'Assessment'!A47</x:f>
        <x:v>S042</x:v>
      </x:c>
      <x:c r="B47" s="123" t="str">
        <x:f>'Assessment'!B47</x:f>
        <x:v>5 Finance &amp; People</x:v>
      </x:c>
      <x:c r="C47" s="123" t="str">
        <x:f>'Assessment'!M47</x:f>
        <x:v>Unscored</x:v>
      </x:c>
      <x:c r="D47" s="124" t="str">
        <x:f>'Assessment'!G47</x:f>
        <x:v>Restricted funds, donations, acknowledgments, and fundraising claims are handled accurately.</x:v>
      </x:c>
      <x:c r="E47" s="123" t="str">
        <x:f>IF('Assessment'!I47="","",'Assessment'!I47)</x:f>
      </x:c>
      <x:c r="F47" s="123" t="str">
        <x:f>'Assessment'!L47</x:f>
      </x:c>
      <x:c r="G47" s="123" t="str">
        <x:f>'Assessment'!K47</x:f>
        <x:v>No</x:v>
      </x:c>
      <x:c r="H47" s="123" t="n">
        <x:f>'Assessment'!N47</x:f>
        <x:v>0</x:v>
      </x:c>
      <x:c r="I47" s="154" t="str">
        <x:f>IF('Assessment'!O47="","",'Assessment'!O47)</x:f>
      </x:c>
      <x:c r="J47" s="124" t="n">
        <x:f>'Assessment'!P47</x:f>
        <x:v>0</x:v>
      </x:c>
      <x:c r="K47" s="123" t="str">
        <x:f>IF(AND('Assessment'!F47="Yes",OR('Assessment'!I47="",'Assessment'!L47&gt;0,'Assessment'!K47="No")),"Yes","No")</x:f>
        <x:v>Yes</x:v>
      </x:c>
    </x:row>
    <x:row r="48" ht="42" customHeight="1">
      <x:c r="A48" s="123" t="str">
        <x:f>'Assessment'!A48</x:f>
        <x:v>S043</x:v>
      </x:c>
      <x:c r="B48" s="123" t="str">
        <x:f>'Assessment'!B48</x:f>
        <x:v>5 Finance &amp; People</x:v>
      </x:c>
      <x:c r="C48" s="123" t="str">
        <x:f>'Assessment'!M48</x:f>
        <x:v>Unscored</x:v>
      </x:c>
      <x:c r="D48" s="124" t="str">
        <x:f>'Assessment'!G48</x:f>
        <x:v>Board reviews liquidity, revenue concentration, liabilities, and insurance at least annually.</x:v>
      </x:c>
      <x:c r="E48" s="123" t="str">
        <x:f>IF('Assessment'!I48="","",'Assessment'!I48)</x:f>
      </x:c>
      <x:c r="F48" s="123" t="str">
        <x:f>'Assessment'!L48</x:f>
      </x:c>
      <x:c r="G48" s="123" t="str">
        <x:f>'Assessment'!K48</x:f>
        <x:v>No</x:v>
      </x:c>
      <x:c r="H48" s="123" t="n">
        <x:f>'Assessment'!N48</x:f>
        <x:v>0</x:v>
      </x:c>
      <x:c r="I48" s="154" t="str">
        <x:f>IF('Assessment'!O48="","",'Assessment'!O48)</x:f>
      </x:c>
      <x:c r="J48" s="124" t="n">
        <x:f>'Assessment'!P48</x:f>
        <x:v>0</x:v>
      </x:c>
      <x:c r="K48" s="123" t="str">
        <x:f>IF(AND('Assessment'!F48="Yes",OR('Assessment'!I48="",'Assessment'!L48&gt;0,'Assessment'!K48="No")),"Yes","No")</x:f>
        <x:v>Yes</x:v>
      </x:c>
    </x:row>
    <x:row r="49" ht="42" customHeight="1">
      <x:c r="A49" s="123" t="str">
        <x:f>'Assessment'!A49</x:f>
        <x:v>S044</x:v>
      </x:c>
      <x:c r="B49" s="123" t="str">
        <x:f>'Assessment'!B49</x:f>
        <x:v>5 Finance &amp; People</x:v>
      </x:c>
      <x:c r="C49" s="123" t="str">
        <x:f>'Assessment'!M49</x:f>
        <x:v>Unscored</x:v>
      </x:c>
      <x:c r="D49" s="124" t="str">
        <x:f>'Assessment'!G49</x:f>
        <x:v>Independent financial review, compilation, or audit matches legal requirements and organizational risk.</x:v>
      </x:c>
      <x:c r="E49" s="123" t="str">
        <x:f>IF('Assessment'!I49="","",'Assessment'!I49)</x:f>
      </x:c>
      <x:c r="F49" s="123" t="str">
        <x:f>'Assessment'!L49</x:f>
      </x:c>
      <x:c r="G49" s="123" t="str">
        <x:f>'Assessment'!K49</x:f>
        <x:v>No</x:v>
      </x:c>
      <x:c r="H49" s="123" t="n">
        <x:f>'Assessment'!N49</x:f>
        <x:v>0</x:v>
      </x:c>
      <x:c r="I49" s="154" t="str">
        <x:f>IF('Assessment'!O49="","",'Assessment'!O49)</x:f>
      </x:c>
      <x:c r="J49" s="124" t="n">
        <x:f>'Assessment'!P49</x:f>
        <x:v>0</x:v>
      </x:c>
      <x:c r="K49" s="123" t="str">
        <x:f>IF(AND('Assessment'!F49="Yes",OR('Assessment'!I49="",'Assessment'!L49&gt;0,'Assessment'!K49="No")),"Yes","No")</x:f>
        <x:v>Yes</x:v>
      </x:c>
    </x:row>
    <x:row r="50" ht="42" customHeight="1">
      <x:c r="A50" s="123" t="str">
        <x:f>'Assessment'!A50</x:f>
        <x:v>S045</x:v>
      </x:c>
      <x:c r="B50" s="123" t="str">
        <x:f>'Assessment'!B50</x:f>
        <x:v>5 Finance &amp; People</x:v>
      </x:c>
      <x:c r="C50" s="123" t="str">
        <x:f>'Assessment'!M50</x:f>
        <x:v>Unscored</x:v>
      </x:c>
      <x:c r="D50" s="124" t="str">
        <x:f>'Assessment'!G50</x:f>
        <x:v>Multi-year forecasts and reserves demonstrate a credible continuity plan under adverse scenarios.</x:v>
      </x:c>
      <x:c r="E50" s="123" t="str">
        <x:f>IF('Assessment'!I50="","",'Assessment'!I50)</x:f>
      </x:c>
      <x:c r="F50" s="123" t="str">
        <x:f>'Assessment'!L50</x:f>
      </x:c>
      <x:c r="G50" s="123" t="str">
        <x:f>'Assessment'!K50</x:f>
        <x:v>No</x:v>
      </x:c>
      <x:c r="H50" s="123" t="n">
        <x:f>'Assessment'!N50</x:f>
        <x:v>0</x:v>
      </x:c>
      <x:c r="I50" s="154" t="str">
        <x:f>IF('Assessment'!O50="","",'Assessment'!O50)</x:f>
      </x:c>
      <x:c r="J50" s="124" t="n">
        <x:f>'Assessment'!P50</x:f>
        <x:v>0</x:v>
      </x:c>
      <x:c r="K50" s="123" t="str">
        <x:f>IF(AND('Assessment'!F50="Yes",OR('Assessment'!I50="",'Assessment'!L50&gt;0,'Assessment'!K50="No")),"Yes","No")</x:f>
        <x:v>Yes</x:v>
      </x:c>
    </x:row>
    <x:row r="51" ht="42" customHeight="1">
      <x:c r="A51" s="123" t="str">
        <x:f>'Assessment'!A51</x:f>
        <x:v>S046</x:v>
      </x:c>
      <x:c r="B51" s="123" t="str">
        <x:f>'Assessment'!B51</x:f>
        <x:v>5 Finance &amp; People</x:v>
      </x:c>
      <x:c r="C51" s="123" t="str">
        <x:f>'Assessment'!M51</x:f>
        <x:v>Unscored</x:v>
      </x:c>
      <x:c r="D51" s="124" t="str">
        <x:f>'Assessment'!G51</x:f>
        <x:v>Every employee has a current job description, lawful classification, payroll processing, and required postings.</x:v>
      </x:c>
      <x:c r="E51" s="123" t="str">
        <x:f>IF('Assessment'!I51="","",'Assessment'!I51)</x:f>
      </x:c>
      <x:c r="F51" s="123" t="str">
        <x:f>'Assessment'!L51</x:f>
      </x:c>
      <x:c r="G51" s="123" t="str">
        <x:f>'Assessment'!K51</x:f>
        <x:v>No</x:v>
      </x:c>
      <x:c r="H51" s="123" t="n">
        <x:f>'Assessment'!N51</x:f>
        <x:v>0</x:v>
      </x:c>
      <x:c r="I51" s="154" t="str">
        <x:f>IF('Assessment'!O51="","",'Assessment'!O51)</x:f>
      </x:c>
      <x:c r="J51" s="124" t="n">
        <x:f>'Assessment'!P51</x:f>
        <x:v>0</x:v>
      </x:c>
      <x:c r="K51" s="123" t="str">
        <x:f>IF(AND('Assessment'!F51="Yes",OR('Assessment'!I51="",'Assessment'!L51&gt;0,'Assessment'!K51="No")),"Yes","No")</x:f>
        <x:v>Yes</x:v>
      </x:c>
    </x:row>
    <x:row r="52" ht="42" customHeight="1">
      <x:c r="A52" s="123" t="str">
        <x:f>'Assessment'!A52</x:f>
        <x:v>S047</x:v>
      </x:c>
      <x:c r="B52" s="123" t="str">
        <x:f>'Assessment'!B52</x:f>
        <x:v>5 Finance &amp; People</x:v>
      </x:c>
      <x:c r="C52" s="123" t="str">
        <x:f>'Assessment'!M52</x:f>
        <x:v>Unscored</x:v>
      </x:c>
      <x:c r="D52" s="124" t="str">
        <x:f>'Assessment'!G52</x:f>
        <x:v>Employee handbook covers conduct, harassment, leave, hours, safety, complaints, and discipline.</x:v>
      </x:c>
      <x:c r="E52" s="123" t="str">
        <x:f>IF('Assessment'!I52="","",'Assessment'!I52)</x:f>
      </x:c>
      <x:c r="F52" s="123" t="str">
        <x:f>'Assessment'!L52</x:f>
      </x:c>
      <x:c r="G52" s="123" t="str">
        <x:f>'Assessment'!K52</x:f>
        <x:v>No</x:v>
      </x:c>
      <x:c r="H52" s="123" t="n">
        <x:f>'Assessment'!N52</x:f>
        <x:v>0</x:v>
      </x:c>
      <x:c r="I52" s="154" t="str">
        <x:f>IF('Assessment'!O52="","",'Assessment'!O52)</x:f>
      </x:c>
      <x:c r="J52" s="124" t="n">
        <x:f>'Assessment'!P52</x:f>
        <x:v>0</x:v>
      </x:c>
      <x:c r="K52" s="123" t="str">
        <x:f>IF(AND('Assessment'!F52="Yes",OR('Assessment'!I52="",'Assessment'!L52&gt;0,'Assessment'!K52="No")),"Yes","No")</x:f>
        <x:v>Yes</x:v>
      </x:c>
    </x:row>
    <x:row r="53" ht="42" customHeight="1">
      <x:c r="A53" s="123" t="str">
        <x:f>'Assessment'!A53</x:f>
        <x:v>S048</x:v>
      </x:c>
      <x:c r="B53" s="123" t="str">
        <x:f>'Assessment'!B53</x:f>
        <x:v>5 Finance &amp; People</x:v>
      </x:c>
      <x:c r="C53" s="123" t="str">
        <x:f>'Assessment'!M53</x:f>
        <x:v>Unscored</x:v>
      </x:c>
      <x:c r="D53" s="124" t="str">
        <x:f>'Assessment'!G53</x:f>
        <x:v>Performance goals, supervision, compensation review, and annual evaluations are documented.</x:v>
      </x:c>
      <x:c r="E53" s="123" t="str">
        <x:f>IF('Assessment'!I53="","",'Assessment'!I53)</x:f>
      </x:c>
      <x:c r="F53" s="123" t="str">
        <x:f>'Assessment'!L53</x:f>
      </x:c>
      <x:c r="G53" s="123" t="str">
        <x:f>'Assessment'!K53</x:f>
        <x:v>No</x:v>
      </x:c>
      <x:c r="H53" s="123" t="n">
        <x:f>'Assessment'!N53</x:f>
        <x:v>0</x:v>
      </x:c>
      <x:c r="I53" s="154" t="str">
        <x:f>IF('Assessment'!O53="","",'Assessment'!O53)</x:f>
      </x:c>
      <x:c r="J53" s="124" t="n">
        <x:f>'Assessment'!P53</x:f>
        <x:v>0</x:v>
      </x:c>
      <x:c r="K53" s="123" t="str">
        <x:f>IF(AND('Assessment'!F53="Yes",OR('Assessment'!I53="",'Assessment'!L53&gt;0,'Assessment'!K53="No")),"Yes","No")</x:f>
        <x:v>Yes</x:v>
      </x:c>
    </x:row>
    <x:row r="54" ht="42" customHeight="1">
      <x:c r="A54" s="123" t="str">
        <x:f>'Assessment'!A54</x:f>
        <x:v>S049</x:v>
      </x:c>
      <x:c r="B54" s="123" t="str">
        <x:f>'Assessment'!B54</x:f>
        <x:v>5 Finance &amp; People</x:v>
      </x:c>
      <x:c r="C54" s="123" t="str">
        <x:f>'Assessment'!M54</x:f>
        <x:v>Unscored</x:v>
      </x:c>
      <x:c r="D54" s="124" t="str">
        <x:f>'Assessment'!G54</x:f>
        <x:v>Leadership reviews retention, workload, pay equity, development, and single-person dependencies.</x:v>
      </x:c>
      <x:c r="E54" s="123" t="str">
        <x:f>IF('Assessment'!I54="","",'Assessment'!I54)</x:f>
      </x:c>
      <x:c r="F54" s="123" t="str">
        <x:f>'Assessment'!L54</x:f>
      </x:c>
      <x:c r="G54" s="123" t="str">
        <x:f>'Assessment'!K54</x:f>
        <x:v>No</x:v>
      </x:c>
      <x:c r="H54" s="123" t="n">
        <x:f>'Assessment'!N54</x:f>
        <x:v>0</x:v>
      </x:c>
      <x:c r="I54" s="154" t="str">
        <x:f>IF('Assessment'!O54="","",'Assessment'!O54)</x:f>
      </x:c>
      <x:c r="J54" s="124" t="n">
        <x:f>'Assessment'!P54</x:f>
        <x:v>0</x:v>
      </x:c>
      <x:c r="K54" s="123" t="str">
        <x:f>IF(AND('Assessment'!F54="Yes",OR('Assessment'!I54="",'Assessment'!L54&gt;0,'Assessment'!K54="No")),"Yes","No")</x:f>
        <x:v>Yes</x:v>
      </x:c>
    </x:row>
    <x:row r="55" ht="42" customHeight="1">
      <x:c r="A55" s="123" t="str">
        <x:f>'Assessment'!A55</x:f>
        <x:v>S050</x:v>
      </x:c>
      <x:c r="B55" s="123" t="str">
        <x:f>'Assessment'!B55</x:f>
        <x:v>5 Finance &amp; People</x:v>
      </x:c>
      <x:c r="C55" s="123" t="str">
        <x:f>'Assessment'!M55</x:f>
        <x:v>N/A</x:v>
      </x:c>
      <x:c r="D55" s="124" t="str">
        <x:f>'Assessment'!G55</x:f>
        <x:v>Volunteer leads have defined roles, authority, contacts, and required safety qualifications.</x:v>
      </x:c>
      <x:c r="E55" s="123" t="str">
        <x:f>IF('Assessment'!I55="","",'Assessment'!I55)</x:f>
      </x:c>
      <x:c r="F55" s="123" t="str">
        <x:f>'Assessment'!L55</x:f>
      </x:c>
      <x:c r="G55" s="123" t="str">
        <x:f>'Assessment'!K55</x:f>
        <x:v>N/A</x:v>
      </x:c>
      <x:c r="H55" s="123" t="n">
        <x:f>'Assessment'!N55</x:f>
        <x:v>0</x:v>
      </x:c>
      <x:c r="I55" s="154" t="str">
        <x:f>IF('Assessment'!O55="","",'Assessment'!O55)</x:f>
      </x:c>
      <x:c r="J55" s="124" t="n">
        <x:f>'Assessment'!P55</x:f>
        <x:v>0</x:v>
      </x:c>
      <x:c r="K55" s="123" t="str">
        <x:f>IF(AND('Assessment'!F55="Yes",OR('Assessment'!I55="",'Assessment'!L55&gt;0,'Assessment'!K55="No")),"Yes","No")</x:f>
        <x:v>No</x:v>
      </x:c>
    </x:row>
    <x:row r="56" ht="42" customHeight="1">
      <x:c r="A56" s="123" t="str">
        <x:f>'Assessment'!A56</x:f>
        <x:v>S051</x:v>
      </x:c>
      <x:c r="B56" s="123" t="str">
        <x:f>'Assessment'!B56</x:f>
        <x:v>5 Finance &amp; People</x:v>
      </x:c>
      <x:c r="C56" s="123" t="str">
        <x:f>'Assessment'!M56</x:f>
        <x:v>N/A</x:v>
      </x:c>
      <x:c r="D56" s="124" t="str">
        <x:f>'Assessment'!G56</x:f>
        <x:v>Scheduling, onboarding, supervision, complaints, removal, and escalation are documented.</x:v>
      </x:c>
      <x:c r="E56" s="123" t="str">
        <x:f>IF('Assessment'!I56="","",'Assessment'!I56)</x:f>
      </x:c>
      <x:c r="F56" s="123" t="str">
        <x:f>'Assessment'!L56</x:f>
      </x:c>
      <x:c r="G56" s="123" t="str">
        <x:f>'Assessment'!K56</x:f>
        <x:v>N/A</x:v>
      </x:c>
      <x:c r="H56" s="123" t="n">
        <x:f>'Assessment'!N56</x:f>
        <x:v>0</x:v>
      </x:c>
      <x:c r="I56" s="154" t="str">
        <x:f>IF('Assessment'!O56="","",'Assessment'!O56)</x:f>
      </x:c>
      <x:c r="J56" s="124" t="n">
        <x:f>'Assessment'!P56</x:f>
        <x:v>0</x:v>
      </x:c>
      <x:c r="K56" s="123" t="str">
        <x:f>IF(AND('Assessment'!F56="Yes",OR('Assessment'!I56="",'Assessment'!L56&gt;0,'Assessment'!K56="No")),"Yes","No")</x:f>
        <x:v>No</x:v>
      </x:c>
    </x:row>
    <x:row r="57" ht="42" customHeight="1">
      <x:c r="A57" s="123" t="str">
        <x:f>'Assessment'!A57</x:f>
        <x:v>S052</x:v>
      </x:c>
      <x:c r="B57" s="123" t="str">
        <x:f>'Assessment'!B57</x:f>
        <x:v>5 Finance &amp; People</x:v>
      </x:c>
      <x:c r="C57" s="123" t="str">
        <x:f>'Assessment'!M57</x:f>
        <x:v>N/A</x:v>
      </x:c>
      <x:c r="D57" s="124" t="str">
        <x:f>'Assessment'!G57</x:f>
        <x:v>Critical responsibilities have backup coverage and transitions do not depend on one volunteer.</x:v>
      </x:c>
      <x:c r="E57" s="123" t="str">
        <x:f>IF('Assessment'!I57="","",'Assessment'!I57)</x:f>
      </x:c>
      <x:c r="F57" s="123" t="str">
        <x:f>'Assessment'!L57</x:f>
      </x:c>
      <x:c r="G57" s="123" t="str">
        <x:f>'Assessment'!K57</x:f>
        <x:v>N/A</x:v>
      </x:c>
      <x:c r="H57" s="123" t="n">
        <x:f>'Assessment'!N57</x:f>
        <x:v>0</x:v>
      </x:c>
      <x:c r="I57" s="154" t="str">
        <x:f>IF('Assessment'!O57="","",'Assessment'!O57)</x:f>
      </x:c>
      <x:c r="J57" s="124" t="n">
        <x:f>'Assessment'!P57</x:f>
        <x:v>0</x:v>
      </x:c>
      <x:c r="K57" s="123" t="str">
        <x:f>IF(AND('Assessment'!F57="Yes",OR('Assessment'!I57="",'Assessment'!L57&gt;0,'Assessment'!K57="No")),"Yes","No")</x:f>
        <x:v>No</x:v>
      </x:c>
    </x:row>
    <x:row r="58" ht="42" customHeight="1">
      <x:c r="A58" s="123" t="str">
        <x:f>'Assessment'!A58</x:f>
        <x:v>S053</x:v>
      </x:c>
      <x:c r="B58" s="123" t="str">
        <x:f>'Assessment'!B58</x:f>
        <x:v>5 Finance &amp; People</x:v>
      </x:c>
      <x:c r="C58" s="123" t="str">
        <x:f>'Assessment'!M58</x:f>
        <x:v>N/A</x:v>
      </x:c>
      <x:c r="D58" s="124" t="str">
        <x:f>'Assessment'!G58</x:f>
        <x:v>Leadership annually reviews workload, retention, recognition, burnout risk, and succession.</x:v>
      </x:c>
      <x:c r="E58" s="123" t="str">
        <x:f>IF('Assessment'!I58="","",'Assessment'!I58)</x:f>
      </x:c>
      <x:c r="F58" s="123" t="str">
        <x:f>'Assessment'!L58</x:f>
      </x:c>
      <x:c r="G58" s="123" t="str">
        <x:f>'Assessment'!K58</x:f>
        <x:v>N/A</x:v>
      </x:c>
      <x:c r="H58" s="123" t="n">
        <x:f>'Assessment'!N58</x:f>
        <x:v>0</x:v>
      </x:c>
      <x:c r="I58" s="154" t="str">
        <x:f>IF('Assessment'!O58="","",'Assessment'!O58)</x:f>
      </x:c>
      <x:c r="J58" s="124" t="n">
        <x:f>'Assessment'!P58</x:f>
        <x:v>0</x:v>
      </x:c>
      <x:c r="K58" s="123" t="str">
        <x:f>IF(AND('Assessment'!F58="Yes",OR('Assessment'!I58="",'Assessment'!L58&gt;0,'Assessment'!K58="No")),"Yes","No")</x:f>
        <x:v>No</x:v>
      </x:c>
    </x:row>
    <x:row r="59" ht="42" customHeight="1">
      <x:c r="A59" s="123" t="str">
        <x:f>'Assessment'!A59</x:f>
        <x:v>S054</x:v>
      </x:c>
      <x:c r="B59" s="123" t="str">
        <x:f>'Assessment'!B59</x:f>
        <x:v>6 Community &amp; Impact</x:v>
      </x:c>
      <x:c r="C59" s="123" t="str">
        <x:f>'Assessment'!M59</x:f>
        <x:v>Unscored</x:v>
      </x:c>
      <x:c r="D59" s="124" t="str">
        <x:f>'Assessment'!G59</x:f>
        <x:v>Organization tracks who participates, what they use, and basic program attendance.</x:v>
      </x:c>
      <x:c r="E59" s="123" t="str">
        <x:f>IF('Assessment'!I59="","",'Assessment'!I59)</x:f>
      </x:c>
      <x:c r="F59" s="123" t="str">
        <x:f>'Assessment'!L59</x:f>
      </x:c>
      <x:c r="G59" s="123" t="str">
        <x:f>'Assessment'!K59</x:f>
        <x:v>No</x:v>
      </x:c>
      <x:c r="H59" s="123" t="n">
        <x:f>'Assessment'!N59</x:f>
        <x:v>0</x:v>
      </x:c>
      <x:c r="I59" s="154" t="str">
        <x:f>IF('Assessment'!O59="","",'Assessment'!O59)</x:f>
      </x:c>
      <x:c r="J59" s="124" t="n">
        <x:f>'Assessment'!P59</x:f>
        <x:v>0</x:v>
      </x:c>
      <x:c r="K59" s="123" t="str">
        <x:f>IF(AND('Assessment'!F59="Yes",OR('Assessment'!I59="",'Assessment'!L59&gt;0,'Assessment'!K59="No")),"Yes","No")</x:f>
        <x:v>Yes</x:v>
      </x:c>
    </x:row>
    <x:row r="60" ht="42" customHeight="1">
      <x:c r="A60" s="123" t="str">
        <x:f>'Assessment'!A60</x:f>
        <x:v>S055</x:v>
      </x:c>
      <x:c r="B60" s="123" t="str">
        <x:f>'Assessment'!B60</x:f>
        <x:v>6 Community &amp; Impact</x:v>
      </x:c>
      <x:c r="C60" s="123" t="str">
        <x:f>'Assessment'!M60</x:f>
        <x:v>Unscored</x:v>
      </x:c>
      <x:c r="D60" s="124" t="str">
        <x:f>'Assessment'!G60</x:f>
        <x:v>Nondiscrimination, accessibility, and inclusion expectations apply to users, staff, volunteers, and programs.</x:v>
      </x:c>
      <x:c r="E60" s="123" t="str">
        <x:f>IF('Assessment'!I60="","",'Assessment'!I60)</x:f>
      </x:c>
      <x:c r="F60" s="123" t="str">
        <x:f>'Assessment'!L60</x:f>
      </x:c>
      <x:c r="G60" s="123" t="str">
        <x:f>'Assessment'!K60</x:f>
        <x:v>No</x:v>
      </x:c>
      <x:c r="H60" s="123" t="n">
        <x:f>'Assessment'!N60</x:f>
        <x:v>0</x:v>
      </x:c>
      <x:c r="I60" s="154" t="str">
        <x:f>IF('Assessment'!O60="","",'Assessment'!O60)</x:f>
      </x:c>
      <x:c r="J60" s="124" t="n">
        <x:f>'Assessment'!P60</x:f>
        <x:v>0</x:v>
      </x:c>
      <x:c r="K60" s="123" t="str">
        <x:f>IF(AND('Assessment'!F60="Yes",OR('Assessment'!I60="",'Assessment'!L60&gt;0,'Assessment'!K60="No")),"Yes","No")</x:f>
        <x:v>Yes</x:v>
      </x:c>
    </x:row>
    <x:row r="61" ht="42" customHeight="1">
      <x:c r="A61" s="123" t="str">
        <x:f>'Assessment'!A61</x:f>
        <x:v>S056</x:v>
      </x:c>
      <x:c r="B61" s="123" t="str">
        <x:f>'Assessment'!B61</x:f>
        <x:v>6 Community &amp; Impact</x:v>
      </x:c>
      <x:c r="C61" s="123" t="str">
        <x:f>'Assessment'!M61</x:f>
        <x:v>Unscored</x:v>
      </x:c>
      <x:c r="D61" s="124" t="str">
        <x:f>'Assessment'!G61</x:f>
        <x:v>Measurable annual goals connect activities to participant learning, agency, belonging, or opportunity.</x:v>
      </x:c>
      <x:c r="E61" s="123" t="str">
        <x:f>IF('Assessment'!I61="","",'Assessment'!I61)</x:f>
      </x:c>
      <x:c r="F61" s="123" t="str">
        <x:f>'Assessment'!L61</x:f>
      </x:c>
      <x:c r="G61" s="123" t="str">
        <x:f>'Assessment'!K61</x:f>
        <x:v>No</x:v>
      </x:c>
      <x:c r="H61" s="123" t="n">
        <x:f>'Assessment'!N61</x:f>
        <x:v>0</x:v>
      </x:c>
      <x:c r="I61" s="154" t="str">
        <x:f>IF('Assessment'!O61="","",'Assessment'!O61)</x:f>
      </x:c>
      <x:c r="J61" s="124" t="n">
        <x:f>'Assessment'!P61</x:f>
        <x:v>0</x:v>
      </x:c>
      <x:c r="K61" s="123" t="str">
        <x:f>IF(AND('Assessment'!F61="Yes",OR('Assessment'!I61="",'Assessment'!L61&gt;0,'Assessment'!K61="No")),"Yes","No")</x:f>
        <x:v>Yes</x:v>
      </x:c>
    </x:row>
    <x:row r="62" ht="42" customHeight="1">
      <x:c r="A62" s="123" t="str">
        <x:f>'Assessment'!A62</x:f>
        <x:v>S057</x:v>
      </x:c>
      <x:c r="B62" s="123" t="str">
        <x:f>'Assessment'!B62</x:f>
        <x:v>6 Community &amp; Impact</x:v>
      </x:c>
      <x:c r="C62" s="123" t="str">
        <x:f>'Assessment'!M62</x:f>
        <x:v>Unscored</x:v>
      </x:c>
      <x:c r="D62" s="124" t="str">
        <x:f>'Assessment'!G62</x:f>
        <x:v>Participant feedback is collected safely and reviewed with usage and demographic information.</x:v>
      </x:c>
      <x:c r="E62" s="123" t="str">
        <x:f>IF('Assessment'!I62="","",'Assessment'!I62)</x:f>
      </x:c>
      <x:c r="F62" s="123" t="str">
        <x:f>'Assessment'!L62</x:f>
      </x:c>
      <x:c r="G62" s="123" t="str">
        <x:f>'Assessment'!K62</x:f>
        <x:v>No</x:v>
      </x:c>
      <x:c r="H62" s="123" t="n">
        <x:f>'Assessment'!N62</x:f>
        <x:v>0</x:v>
      </x:c>
      <x:c r="I62" s="154" t="str">
        <x:f>IF('Assessment'!O62="","",'Assessment'!O62)</x:f>
      </x:c>
      <x:c r="J62" s="124" t="n">
        <x:f>'Assessment'!P62</x:f>
        <x:v>0</x:v>
      </x:c>
      <x:c r="K62" s="123" t="str">
        <x:f>IF(AND('Assessment'!F62="Yes",OR('Assessment'!I62="",'Assessment'!L62&gt;0,'Assessment'!K62="No")),"Yes","No")</x:f>
        <x:v>Yes</x:v>
      </x:c>
    </x:row>
    <x:row r="63" ht="42" customHeight="1">
      <x:c r="A63" s="123" t="str">
        <x:f>'Assessment'!A63</x:f>
        <x:v>S058</x:v>
      </x:c>
      <x:c r="B63" s="123" t="str">
        <x:f>'Assessment'!B63</x:f>
        <x:v>6 Community &amp; Impact</x:v>
      </x:c>
      <x:c r="C63" s="123" t="str">
        <x:f>'Assessment'!M63</x:f>
        <x:v>Unscored</x:v>
      </x:c>
      <x:c r="D63" s="124" t="str">
        <x:f>'Assessment'!G63</x:f>
        <x:v>Instruction supports choice, iteration, peer learning, and multiple ways to participate and demonstrate learning.</x:v>
      </x:c>
      <x:c r="E63" s="123" t="str">
        <x:f>IF('Assessment'!I63="","",'Assessment'!I63)</x:f>
      </x:c>
      <x:c r="F63" s="123" t="str">
        <x:f>'Assessment'!L63</x:f>
      </x:c>
      <x:c r="G63" s="123" t="str">
        <x:f>'Assessment'!K63</x:f>
        <x:v>No</x:v>
      </x:c>
      <x:c r="H63" s="123" t="n">
        <x:f>'Assessment'!N63</x:f>
        <x:v>0</x:v>
      </x:c>
      <x:c r="I63" s="154" t="str">
        <x:f>IF('Assessment'!O63="","",'Assessment'!O63)</x:f>
      </x:c>
      <x:c r="J63" s="124" t="n">
        <x:f>'Assessment'!P63</x:f>
        <x:v>0</x:v>
      </x:c>
      <x:c r="K63" s="123" t="str">
        <x:f>IF(AND('Assessment'!F63="Yes",OR('Assessment'!I63="",'Assessment'!L63&gt;0,'Assessment'!K63="No")),"Yes","No")</x:f>
        <x:v>Yes</x:v>
      </x:c>
    </x:row>
    <x:row r="64" ht="42" customHeight="1">
      <x:c r="A64" s="123" t="str">
        <x:f>'Assessment'!A64</x:f>
        <x:v>S059</x:v>
      </x:c>
      <x:c r="B64" s="123" t="str">
        <x:f>'Assessment'!B64</x:f>
        <x:v>6 Community &amp; Impact</x:v>
      </x:c>
      <x:c r="C64" s="123" t="str">
        <x:f>'Assessment'!M64</x:f>
        <x:v>Unscored</x:v>
      </x:c>
      <x:c r="D64" s="124" t="str">
        <x:f>'Assessment'!G64</x:f>
        <x:v>Community partnerships have clear purposes, responsibilities, and mutual benefit.</x:v>
      </x:c>
      <x:c r="E64" s="123" t="str">
        <x:f>IF('Assessment'!I64="","",'Assessment'!I64)</x:f>
      </x:c>
      <x:c r="F64" s="123" t="str">
        <x:f>'Assessment'!L64</x:f>
      </x:c>
      <x:c r="G64" s="123" t="str">
        <x:f>'Assessment'!K64</x:f>
        <x:v>No</x:v>
      </x:c>
      <x:c r="H64" s="123" t="n">
        <x:f>'Assessment'!N64</x:f>
        <x:v>0</x:v>
      </x:c>
      <x:c r="I64" s="154" t="str">
        <x:f>IF('Assessment'!O64="","",'Assessment'!O64)</x:f>
      </x:c>
      <x:c r="J64" s="124" t="n">
        <x:f>'Assessment'!P64</x:f>
        <x:v>0</x:v>
      </x:c>
      <x:c r="K64" s="123" t="str">
        <x:f>IF(AND('Assessment'!F64="Yes",OR('Assessment'!I64="",'Assessment'!L64&gt;0,'Assessment'!K64="No")),"Yes","No")</x:f>
        <x:v>Yes</x:v>
      </x:c>
    </x:row>
    <x:row r="65" ht="42" customHeight="1">
      <x:c r="A65" s="123" t="str">
        <x:f>'Assessment'!A65</x:f>
        <x:v>S060</x:v>
      </x:c>
      <x:c r="B65" s="123" t="str">
        <x:f>'Assessment'!B65</x:f>
        <x:v>6 Community &amp; Impact</x:v>
      </x:c>
      <x:c r="C65" s="123" t="str">
        <x:f>'Assessment'!M65</x:f>
        <x:v>Unscored</x:v>
      </x:c>
      <x:c r="D65" s="124" t="str">
        <x:f>'Assessment'!G65</x:f>
        <x:v>A public annual report summarizes finances, participation, outcomes, setbacks, and improvement commitments.</x:v>
      </x:c>
      <x:c r="E65" s="123" t="str">
        <x:f>IF('Assessment'!I65="","",'Assessment'!I65)</x:f>
      </x:c>
      <x:c r="F65" s="123" t="str">
        <x:f>'Assessment'!L65</x:f>
      </x:c>
      <x:c r="G65" s="123" t="str">
        <x:f>'Assessment'!K65</x:f>
        <x:v>No</x:v>
      </x:c>
      <x:c r="H65" s="123" t="n">
        <x:f>'Assessment'!N65</x:f>
        <x:v>0</x:v>
      </x:c>
      <x:c r="I65" s="154" t="str">
        <x:f>IF('Assessment'!O65="","",'Assessment'!O65)</x:f>
      </x:c>
      <x:c r="J65" s="124" t="n">
        <x:f>'Assessment'!P65</x:f>
        <x:v>0</x:v>
      </x:c>
      <x:c r="K65" s="123" t="str">
        <x:f>IF(AND('Assessment'!F65="Yes",OR('Assessment'!I65="",'Assessment'!L65&gt;0,'Assessment'!K65="No")),"Yes","No")</x:f>
        <x:v>Yes</x:v>
      </x:c>
    </x:row>
    <x:row r="66" ht="42" customHeight="1">
      <x:c r="A66" s="123" t="str">
        <x:f>'Assessment'!A66</x:f>
        <x:v>S061</x:v>
      </x:c>
      <x:c r="B66" s="123" t="str">
        <x:f>'Assessment'!B66</x:f>
        <x:v>6 Community &amp; Impact</x:v>
      </x:c>
      <x:c r="C66" s="123" t="str">
        <x:f>'Assessment'!M66</x:f>
        <x:v>Unscored</x:v>
      </x:c>
      <x:c r="D66" s="124" t="str">
        <x:f>'Assessment'!G66</x:f>
        <x:v>Evaluation findings demonstrably influence program design, outreach, staffing, and capital decisions.</x:v>
      </x:c>
      <x:c r="E66" s="123" t="str">
        <x:f>IF('Assessment'!I66="","",'Assessment'!I66)</x:f>
      </x:c>
      <x:c r="F66" s="123" t="str">
        <x:f>'Assessment'!L66</x:f>
      </x:c>
      <x:c r="G66" s="123" t="str">
        <x:f>'Assessment'!K66</x:f>
        <x:v>No</x:v>
      </x:c>
      <x:c r="H66" s="123" t="n">
        <x:f>'Assessment'!N66</x:f>
        <x:v>0</x:v>
      </x:c>
      <x:c r="I66" s="154" t="str">
        <x:f>IF('Assessment'!O66="","",'Assessment'!O66)</x:f>
      </x:c>
      <x:c r="J66" s="124" t="n">
        <x:f>'Assessment'!P66</x:f>
        <x:v>0</x:v>
      </x:c>
      <x:c r="K66" s="123" t="str">
        <x:f>IF(AND('Assessment'!F66="Yes",OR('Assessment'!I66="",'Assessment'!L66&gt;0,'Assessment'!K66="No")),"Yes","No")</x:f>
        <x:v>Yes</x:v>
      </x:c>
    </x:row>
    <x:row r="67" ht="42" customHeight="1">
      <x:c r="A67" s="123" t="str">
        <x:f>'Assessment'!A67</x:f>
        <x:v>S062</x:v>
      </x:c>
      <x:c r="B67" s="123" t="str">
        <x:f>'Assessment'!B67</x:f>
        <x:v>A Tool Lending</x:v>
      </x:c>
      <x:c r="C67" s="123" t="str">
        <x:f>'Assessment'!M67</x:f>
        <x:v>N/A</x:v>
      </x:c>
      <x:c r="D67" s="124" t="str">
        <x:f>'Assessment'!G67</x:f>
        <x:v>Each circulating tool is uniquely identified and checked out to a verified borrower.</x:v>
      </x:c>
      <x:c r="E67" s="123" t="str">
        <x:f>IF('Assessment'!I67="","",'Assessment'!I67)</x:f>
      </x:c>
      <x:c r="F67" s="123" t="str">
        <x:f>'Assessment'!L67</x:f>
      </x:c>
      <x:c r="G67" s="123" t="str">
        <x:f>'Assessment'!K67</x:f>
        <x:v>N/A</x:v>
      </x:c>
      <x:c r="H67" s="123" t="n">
        <x:f>'Assessment'!N67</x:f>
        <x:v>0</x:v>
      </x:c>
      <x:c r="I67" s="154" t="str">
        <x:f>IF('Assessment'!O67="","",'Assessment'!O67)</x:f>
      </x:c>
      <x:c r="J67" s="124" t="n">
        <x:f>'Assessment'!P67</x:f>
        <x:v>0</x:v>
      </x:c>
      <x:c r="K67" s="123" t="str">
        <x:f>IF(AND('Assessment'!F67="Yes",OR('Assessment'!I67="",'Assessment'!L67&gt;0,'Assessment'!K67="No")),"Yes","No")</x:f>
        <x:v>No</x:v>
      </x:c>
    </x:row>
    <x:row r="68" ht="42" customHeight="1">
      <x:c r="A68" s="123" t="str">
        <x:f>'Assessment'!A68</x:f>
        <x:v>S063</x:v>
      </x:c>
      <x:c r="B68" s="123" t="str">
        <x:f>'Assessment'!B68</x:f>
        <x:v>A Tool Lending</x:v>
      </x:c>
      <x:c r="C68" s="123" t="str">
        <x:f>'Assessment'!M68</x:f>
        <x:v>N/A</x:v>
      </x:c>
      <x:c r="D68" s="124" t="str">
        <x:f>'Assessment'!G68</x:f>
        <x:v>Loan agreement, due dates, condition, accessories, loss, and safe-use limits are documented.</x:v>
      </x:c>
      <x:c r="E68" s="123" t="str">
        <x:f>IF('Assessment'!I68="","",'Assessment'!I68)</x:f>
      </x:c>
      <x:c r="F68" s="123" t="str">
        <x:f>'Assessment'!L68</x:f>
      </x:c>
      <x:c r="G68" s="123" t="str">
        <x:f>'Assessment'!K68</x:f>
        <x:v>N/A</x:v>
      </x:c>
      <x:c r="H68" s="123" t="n">
        <x:f>'Assessment'!N68</x:f>
        <x:v>0</x:v>
      </x:c>
      <x:c r="I68" s="154" t="str">
        <x:f>IF('Assessment'!O68="","",'Assessment'!O68)</x:f>
      </x:c>
      <x:c r="J68" s="124" t="n">
        <x:f>'Assessment'!P68</x:f>
        <x:v>0</x:v>
      </x:c>
      <x:c r="K68" s="123" t="str">
        <x:f>IF(AND('Assessment'!F68="Yes",OR('Assessment'!I68="",'Assessment'!L68&gt;0,'Assessment'!K68="No")),"Yes","No")</x:f>
        <x:v>No</x:v>
      </x:c>
    </x:row>
    <x:row r="69" ht="42" customHeight="1">
      <x:c r="A69" s="123" t="str">
        <x:f>'Assessment'!A69</x:f>
        <x:v>S064</x:v>
      </x:c>
      <x:c r="B69" s="123" t="str">
        <x:f>'Assessment'!B69</x:f>
        <x:v>A Tool Lending</x:v>
      </x:c>
      <x:c r="C69" s="123" t="str">
        <x:f>'Assessment'!M69</x:f>
        <x:v>N/A</x:v>
      </x:c>
      <x:c r="D69" s="124" t="str">
        <x:f>'Assessment'!G69</x:f>
        <x:v>Returned powered tools receive documented functional and electrical inspection before recirculation.</x:v>
      </x:c>
      <x:c r="E69" s="123" t="str">
        <x:f>IF('Assessment'!I69="","",'Assessment'!I69)</x:f>
      </x:c>
      <x:c r="F69" s="123" t="str">
        <x:f>'Assessment'!L69</x:f>
      </x:c>
      <x:c r="G69" s="123" t="str">
        <x:f>'Assessment'!K69</x:f>
        <x:v>N/A</x:v>
      </x:c>
      <x:c r="H69" s="123" t="n">
        <x:f>'Assessment'!N69</x:f>
        <x:v>0</x:v>
      </x:c>
      <x:c r="I69" s="154" t="str">
        <x:f>IF('Assessment'!O69="","",'Assessment'!O69)</x:f>
      </x:c>
      <x:c r="J69" s="124" t="n">
        <x:f>'Assessment'!P69</x:f>
        <x:v>0</x:v>
      </x:c>
      <x:c r="K69" s="123" t="str">
        <x:f>IF(AND('Assessment'!F69="Yes",OR('Assessment'!I69="",'Assessment'!L69&gt;0,'Assessment'!K69="No")),"Yes","No")</x:f>
        <x:v>No</x:v>
      </x:c>
    </x:row>
    <x:row r="70" ht="42" customHeight="1">
      <x:c r="A70" s="123" t="str">
        <x:f>'Assessment'!A70</x:f>
        <x:v>S065</x:v>
      </x:c>
      <x:c r="B70" s="123" t="str">
        <x:f>'Assessment'!B70</x:f>
        <x:v>A Tool Lending</x:v>
      </x:c>
      <x:c r="C70" s="123" t="str">
        <x:f>'Assessment'!M70</x:f>
        <x:v>N/A</x:v>
      </x:c>
      <x:c r="D70" s="124" t="str">
        <x:f>'Assessment'!G70</x:f>
        <x:v>Loss, damage, late return, utilization, and maintenance trends inform inventory decisions.</x:v>
      </x:c>
      <x:c r="E70" s="123" t="str">
        <x:f>IF('Assessment'!I70="","",'Assessment'!I70)</x:f>
      </x:c>
      <x:c r="F70" s="123" t="str">
        <x:f>'Assessment'!L70</x:f>
      </x:c>
      <x:c r="G70" s="123" t="str">
        <x:f>'Assessment'!K70</x:f>
        <x:v>N/A</x:v>
      </x:c>
      <x:c r="H70" s="123" t="n">
        <x:f>'Assessment'!N70</x:f>
        <x:v>0</x:v>
      </x:c>
      <x:c r="I70" s="154" t="str">
        <x:f>IF('Assessment'!O70="","",'Assessment'!O70)</x:f>
      </x:c>
      <x:c r="J70" s="124" t="n">
        <x:f>'Assessment'!P70</x:f>
        <x:v>0</x:v>
      </x:c>
      <x:c r="K70" s="123" t="str">
        <x:f>IF(AND('Assessment'!F70="Yes",OR('Assessment'!I70="",'Assessment'!L70&gt;0,'Assessment'!K70="No")),"Yes","No")</x:f>
        <x:v>No</x:v>
      </x:c>
    </x:row>
    <x:row r="71" ht="42" customHeight="1">
      <x:c r="A71" s="123" t="str">
        <x:f>'Assessment'!A71</x:f>
        <x:v>S066</x:v>
      </x:c>
      <x:c r="B71" s="123" t="str">
        <x:f>'Assessment'!B71</x:f>
        <x:v>B Youth</x:v>
      </x:c>
      <x:c r="C71" s="123" t="str">
        <x:f>'Assessment'!M71</x:f>
        <x:v>N/A</x:v>
      </x:c>
      <x:c r="D71" s="124" t="str">
        <x:f>'Assessment'!G71</x:f>
        <x:v>Parent/guardian consent, emergency contacts, supervision, and authorized pickup rules are enforced.</x:v>
      </x:c>
      <x:c r="E71" s="123" t="str">
        <x:f>IF('Assessment'!I71="","",'Assessment'!I71)</x:f>
      </x:c>
      <x:c r="F71" s="123" t="str">
        <x:f>'Assessment'!L71</x:f>
      </x:c>
      <x:c r="G71" s="123" t="str">
        <x:f>'Assessment'!K71</x:f>
        <x:v>N/A</x:v>
      </x:c>
      <x:c r="H71" s="123" t="n">
        <x:f>'Assessment'!N71</x:f>
        <x:v>0</x:v>
      </x:c>
      <x:c r="I71" s="154" t="str">
        <x:f>IF('Assessment'!O71="","",'Assessment'!O71)</x:f>
      </x:c>
      <x:c r="J71" s="124" t="n">
        <x:f>'Assessment'!P71</x:f>
        <x:v>0</x:v>
      </x:c>
      <x:c r="K71" s="123" t="str">
        <x:f>IF(AND('Assessment'!F71="Yes",OR('Assessment'!I71="",'Assessment'!L71&gt;0,'Assessment'!K71="No")),"Yes","No")</x:f>
        <x:v>No</x:v>
      </x:c>
    </x:row>
    <x:row r="72" ht="42" customHeight="1">
      <x:c r="A72" s="123" t="str">
        <x:f>'Assessment'!A72</x:f>
        <x:v>S067</x:v>
      </x:c>
      <x:c r="B72" s="123" t="str">
        <x:f>'Assessment'!B72</x:f>
        <x:v>B Youth</x:v>
      </x:c>
      <x:c r="C72" s="123" t="str">
        <x:f>'Assessment'!M72</x:f>
        <x:v>N/A</x:v>
      </x:c>
      <x:c r="D72" s="124" t="str">
        <x:f>'Assessment'!G72</x:f>
        <x:v>Age and capability rules prohibit or control youth access to hazardous equipment.</x:v>
      </x:c>
      <x:c r="E72" s="123" t="str">
        <x:f>IF('Assessment'!I72="","",'Assessment'!I72)</x:f>
      </x:c>
      <x:c r="F72" s="123" t="str">
        <x:f>'Assessment'!L72</x:f>
      </x:c>
      <x:c r="G72" s="123" t="str">
        <x:f>'Assessment'!K72</x:f>
        <x:v>N/A</x:v>
      </x:c>
      <x:c r="H72" s="123" t="n">
        <x:f>'Assessment'!N72</x:f>
        <x:v>0</x:v>
      </x:c>
      <x:c r="I72" s="154" t="str">
        <x:f>IF('Assessment'!O72="","",'Assessment'!O72)</x:f>
      </x:c>
      <x:c r="J72" s="124" t="n">
        <x:f>'Assessment'!P72</x:f>
        <x:v>0</x:v>
      </x:c>
      <x:c r="K72" s="123" t="str">
        <x:f>IF(AND('Assessment'!F72="Yes",OR('Assessment'!I72="",'Assessment'!L72&gt;0,'Assessment'!K72="No")),"Yes","No")</x:f>
        <x:v>No</x:v>
      </x:c>
    </x:row>
    <x:row r="73" ht="42" customHeight="1">
      <x:c r="A73" s="123" t="str">
        <x:f>'Assessment'!A73</x:f>
        <x:v>S068</x:v>
      </x:c>
      <x:c r="B73" s="123" t="str">
        <x:f>'Assessment'!B73</x:f>
        <x:v>B Youth</x:v>
      </x:c>
      <x:c r="C73" s="123" t="str">
        <x:f>'Assessment'!M73</x:f>
        <x:v>N/A</x:v>
      </x:c>
      <x:c r="D73" s="124" t="str">
        <x:f>'Assessment'!G73</x:f>
        <x:v>Background screening and youth-protection training apply to all covered adults before service.</x:v>
      </x:c>
      <x:c r="E73" s="123" t="str">
        <x:f>IF('Assessment'!I73="","",'Assessment'!I73)</x:f>
      </x:c>
      <x:c r="F73" s="123" t="str">
        <x:f>'Assessment'!L73</x:f>
      </x:c>
      <x:c r="G73" s="123" t="str">
        <x:f>'Assessment'!K73</x:f>
        <x:v>N/A</x:v>
      </x:c>
      <x:c r="H73" s="123" t="n">
        <x:f>'Assessment'!N73</x:f>
        <x:v>0</x:v>
      </x:c>
      <x:c r="I73" s="154" t="str">
        <x:f>IF('Assessment'!O73="","",'Assessment'!O73)</x:f>
      </x:c>
      <x:c r="J73" s="124" t="n">
        <x:f>'Assessment'!P73</x:f>
        <x:v>0</x:v>
      </x:c>
      <x:c r="K73" s="123" t="str">
        <x:f>IF(AND('Assessment'!F73="Yes",OR('Assessment'!I73="",'Assessment'!L73&gt;0,'Assessment'!K73="No")),"Yes","No")</x:f>
        <x:v>No</x:v>
      </x:c>
    </x:row>
    <x:row r="74" ht="42" customHeight="1">
      <x:c r="A74" s="123" t="str">
        <x:f>'Assessment'!A74</x:f>
        <x:v>S069</x:v>
      </x:c>
      <x:c r="B74" s="123" t="str">
        <x:f>'Assessment'!B74</x:f>
        <x:v>B Youth</x:v>
      </x:c>
      <x:c r="C74" s="123" t="str">
        <x:f>'Assessment'!M74</x:f>
        <x:v>N/A</x:v>
      </x:c>
      <x:c r="D74" s="124" t="str">
        <x:f>'Assessment'!G74</x:f>
        <x:v>Two-adult/open-observable practices, reporting duties, communication, and overnight/transport rules are documented as applicable.</x:v>
      </x:c>
      <x:c r="E74" s="123" t="str">
        <x:f>IF('Assessment'!I74="","",'Assessment'!I74)</x:f>
      </x:c>
      <x:c r="F74" s="123" t="str">
        <x:f>'Assessment'!L74</x:f>
      </x:c>
      <x:c r="G74" s="123" t="str">
        <x:f>'Assessment'!K74</x:f>
        <x:v>N/A</x:v>
      </x:c>
      <x:c r="H74" s="123" t="n">
        <x:f>'Assessment'!N74</x:f>
        <x:v>0</x:v>
      </x:c>
      <x:c r="I74" s="154" t="str">
        <x:f>IF('Assessment'!O74="","",'Assessment'!O74)</x:f>
      </x:c>
      <x:c r="J74" s="124" t="n">
        <x:f>'Assessment'!P74</x:f>
        <x:v>0</x:v>
      </x:c>
      <x:c r="K74" s="123" t="str">
        <x:f>IF(AND('Assessment'!F74="Yes",OR('Assessment'!I74="",'Assessment'!L74&gt;0,'Assessment'!K74="No")),"Yes","No")</x:f>
        <x:v>No</x:v>
      </x:c>
    </x:row>
    <x:row r="75" ht="42" customHeight="1">
      <x:c r="A75" s="123" t="str">
        <x:f>'Assessment'!A75</x:f>
        <x:v>S070</x:v>
      </x:c>
      <x:c r="B75" s="123" t="str">
        <x:f>'Assessment'!B75</x:f>
        <x:v>B Youth</x:v>
      </x:c>
      <x:c r="C75" s="123" t="str">
        <x:f>'Assessment'!M75</x:f>
        <x:v>N/A</x:v>
      </x:c>
      <x:c r="D75" s="124" t="str">
        <x:f>'Assessment'!G75</x:f>
        <x:v>Youth curricula and outcomes are periodically reviewed with educators, families, and participants.</x:v>
      </x:c>
      <x:c r="E75" s="123" t="str">
        <x:f>IF('Assessment'!I75="","",'Assessment'!I75)</x:f>
      </x:c>
      <x:c r="F75" s="123" t="str">
        <x:f>'Assessment'!L75</x:f>
      </x:c>
      <x:c r="G75" s="123" t="str">
        <x:f>'Assessment'!K75</x:f>
        <x:v>N/A</x:v>
      </x:c>
      <x:c r="H75" s="123" t="n">
        <x:f>'Assessment'!N75</x:f>
        <x:v>0</x:v>
      </x:c>
      <x:c r="I75" s="154" t="str">
        <x:f>IF('Assessment'!O75="","",'Assessment'!O75)</x:f>
      </x:c>
      <x:c r="J75" s="124" t="n">
        <x:f>'Assessment'!P75</x:f>
        <x:v>0</x:v>
      </x:c>
      <x:c r="K75" s="123" t="str">
        <x:f>IF(AND('Assessment'!F75="Yes",OR('Assessment'!I75="",'Assessment'!L75&gt;0,'Assessment'!K75="No")),"Yes","No")</x:f>
        <x:v>No</x:v>
      </x:c>
    </x:row>
    <x:row r="76" ht="42" customHeight="1">
      <x:c r="A76" s="123" t="str">
        <x:f>'Assessment'!A76</x:f>
        <x:v>S071</x:v>
      </x:c>
      <x:c r="B76" s="123" t="str">
        <x:f>'Assessment'!B76</x:f>
        <x:v>C Incubation</x:v>
      </x:c>
      <x:c r="C76" s="123" t="str">
        <x:f>'Assessment'!M76</x:f>
        <x:v>N/A</x:v>
      </x:c>
      <x:c r="D76" s="124" t="str">
        <x:f>'Assessment'!G76</x:f>
        <x:v>Commercial use, production limits, shared-tool priority, staging, and prohibited activities are clear.</x:v>
      </x:c>
      <x:c r="E76" s="123" t="str">
        <x:f>IF('Assessment'!I76="","",'Assessment'!I76)</x:f>
      </x:c>
      <x:c r="F76" s="123" t="str">
        <x:f>'Assessment'!L76</x:f>
      </x:c>
      <x:c r="G76" s="123" t="str">
        <x:f>'Assessment'!K76</x:f>
        <x:v>N/A</x:v>
      </x:c>
      <x:c r="H76" s="123" t="n">
        <x:f>'Assessment'!N76</x:f>
        <x:v>0</x:v>
      </x:c>
      <x:c r="I76" s="154" t="str">
        <x:f>IF('Assessment'!O76="","",'Assessment'!O76)</x:f>
      </x:c>
      <x:c r="J76" s="124" t="n">
        <x:f>'Assessment'!P76</x:f>
        <x:v>0</x:v>
      </x:c>
      <x:c r="K76" s="123" t="str">
        <x:f>IF(AND('Assessment'!F76="Yes",OR('Assessment'!I76="",'Assessment'!L76&gt;0,'Assessment'!K76="No")),"Yes","No")</x:f>
        <x:v>No</x:v>
      </x:c>
    </x:row>
    <x:row r="77" ht="42" customHeight="1">
      <x:c r="A77" s="123" t="str">
        <x:f>'Assessment'!A77</x:f>
        <x:v>S072</x:v>
      </x:c>
      <x:c r="B77" s="123" t="str">
        <x:f>'Assessment'!B77</x:f>
        <x:v>C Incubation</x:v>
      </x:c>
      <x:c r="C77" s="123" t="str">
        <x:f>'Assessment'!M77</x:f>
        <x:v>N/A</x:v>
      </x:c>
      <x:c r="D77" s="124" t="str">
        <x:f>'Assessment'!G77</x:f>
        <x:v>Written agreements define space, term, fees, insurance, IP, milestones, and termination.</x:v>
      </x:c>
      <x:c r="E77" s="123" t="str">
        <x:f>IF('Assessment'!I77="","",'Assessment'!I77)</x:f>
      </x:c>
      <x:c r="F77" s="123" t="str">
        <x:f>'Assessment'!L77</x:f>
      </x:c>
      <x:c r="G77" s="123" t="str">
        <x:f>'Assessment'!K77</x:f>
        <x:v>N/A</x:v>
      </x:c>
      <x:c r="H77" s="123" t="n">
        <x:f>'Assessment'!N77</x:f>
        <x:v>0</x:v>
      </x:c>
      <x:c r="I77" s="154" t="str">
        <x:f>IF('Assessment'!O77="","",'Assessment'!O77)</x:f>
      </x:c>
      <x:c r="J77" s="124" t="n">
        <x:f>'Assessment'!P77</x:f>
        <x:v>0</x:v>
      </x:c>
      <x:c r="K77" s="123" t="str">
        <x:f>IF(AND('Assessment'!F77="Yes",OR('Assessment'!I77="",'Assessment'!L77&gt;0,'Assessment'!K77="No")),"Yes","No")</x:f>
        <x:v>No</x:v>
      </x:c>
    </x:row>
    <x:row r="78" ht="42" customHeight="1">
      <x:c r="A78" s="123" t="str">
        <x:f>'Assessment'!A78</x:f>
        <x:v>S073</x:v>
      </x:c>
      <x:c r="B78" s="123" t="str">
        <x:f>'Assessment'!B78</x:f>
        <x:v>C Incubation</x:v>
      </x:c>
      <x:c r="C78" s="123" t="str">
        <x:f>'Assessment'!M78</x:f>
        <x:v>N/A</x:v>
      </x:c>
      <x:c r="D78" s="124" t="str">
        <x:f>'Assessment'!G78</x:f>
        <x:v>Production activities receive documented safety, zoning, environmental, and capacity review.</x:v>
      </x:c>
      <x:c r="E78" s="123" t="str">
        <x:f>IF('Assessment'!I78="","",'Assessment'!I78)</x:f>
      </x:c>
      <x:c r="F78" s="123" t="str">
        <x:f>'Assessment'!L78</x:f>
      </x:c>
      <x:c r="G78" s="123" t="str">
        <x:f>'Assessment'!K78</x:f>
        <x:v>N/A</x:v>
      </x:c>
      <x:c r="H78" s="123" t="n">
        <x:f>'Assessment'!N78</x:f>
        <x:v>0</x:v>
      </x:c>
      <x:c r="I78" s="154" t="str">
        <x:f>IF('Assessment'!O78="","",'Assessment'!O78)</x:f>
      </x:c>
      <x:c r="J78" s="124" t="n">
        <x:f>'Assessment'!P78</x:f>
        <x:v>0</x:v>
      </x:c>
      <x:c r="K78" s="123" t="str">
        <x:f>IF(AND('Assessment'!F78="Yes",OR('Assessment'!I78="",'Assessment'!L78&gt;0,'Assessment'!K78="No")),"Yes","No")</x:f>
        <x:v>No</x:v>
      </x:c>
    </x:row>
    <x:row r="79" ht="42" customHeight="1">
      <x:c r="A79" s="123" t="str">
        <x:f>'Assessment'!A79</x:f>
        <x:v>S074</x:v>
      </x:c>
      <x:c r="B79" s="123" t="str">
        <x:f>'Assessment'!B79</x:f>
        <x:v>C Incubation</x:v>
      </x:c>
      <x:c r="C79" s="123" t="str">
        <x:f>'Assessment'!M79</x:f>
        <x:v>N/A</x:v>
      </x:c>
      <x:c r="D79" s="124" t="str">
        <x:f>'Assessment'!G79</x:f>
        <x:v>Program outcomes and community subsidy are measured and reviewed for mission alignment.</x:v>
      </x:c>
      <x:c r="E79" s="123" t="str">
        <x:f>IF('Assessment'!I79="","",'Assessment'!I79)</x:f>
      </x:c>
      <x:c r="F79" s="123" t="str">
        <x:f>'Assessment'!L79</x:f>
      </x:c>
      <x:c r="G79" s="123" t="str">
        <x:f>'Assessment'!K79</x:f>
        <x:v>N/A</x:v>
      </x:c>
      <x:c r="H79" s="123" t="n">
        <x:f>'Assessment'!N79</x:f>
        <x:v>0</x:v>
      </x:c>
      <x:c r="I79" s="154" t="str">
        <x:f>IF('Assessment'!O79="","",'Assessment'!O79)</x:f>
      </x:c>
      <x:c r="J79" s="124" t="n">
        <x:f>'Assessment'!P79</x:f>
        <x:v>0</x:v>
      </x:c>
      <x:c r="K79" s="123" t="str">
        <x:f>IF(AND('Assessment'!F79="Yes",OR('Assessment'!I79="",'Assessment'!L79&gt;0,'Assessment'!K79="No")),"Yes","No")</x:f>
        <x:v>No</x:v>
      </x:c>
    </x:row>
    <x:row r="80" ht="42" customHeight="1">
      <x:c r="A80" s="123" t="str">
        <x:f>'Assessment'!A80</x:f>
        <x:v>S075</x:v>
      </x:c>
      <x:c r="B80" s="123" t="str">
        <x:f>'Assessment'!B80</x:f>
        <x:v>D Circular Repair</x:v>
      </x:c>
      <x:c r="C80" s="123" t="str">
        <x:f>'Assessment'!M80</x:f>
        <x:v>N/A</x:v>
      </x:c>
      <x:c r="D80" s="124" t="str">
        <x:f>'Assessment'!G80</x:f>
        <x:v>Repair events use intake, ownership, safety, and liability procedures.</x:v>
      </x:c>
      <x:c r="E80" s="123" t="str">
        <x:f>IF('Assessment'!I80="","",'Assessment'!I80)</x:f>
      </x:c>
      <x:c r="F80" s="123" t="str">
        <x:f>'Assessment'!L80</x:f>
      </x:c>
      <x:c r="G80" s="123" t="str">
        <x:f>'Assessment'!K80</x:f>
        <x:v>N/A</x:v>
      </x:c>
      <x:c r="H80" s="123" t="n">
        <x:f>'Assessment'!N80</x:f>
        <x:v>0</x:v>
      </x:c>
      <x:c r="I80" s="154" t="str">
        <x:f>IF('Assessment'!O80="","",'Assessment'!O80)</x:f>
      </x:c>
      <x:c r="J80" s="124" t="n">
        <x:f>'Assessment'!P80</x:f>
        <x:v>0</x:v>
      </x:c>
      <x:c r="K80" s="123" t="str">
        <x:f>IF(AND('Assessment'!F80="Yes",OR('Assessment'!I80="",'Assessment'!L80&gt;0,'Assessment'!K80="No")),"Yes","No")</x:f>
        <x:v>No</x:v>
      </x:c>
    </x:row>
    <x:row r="81" ht="42" customHeight="1">
      <x:c r="A81" s="123" t="str">
        <x:f>'Assessment'!A81</x:f>
        <x:v>S076</x:v>
      </x:c>
      <x:c r="B81" s="123" t="str">
        <x:f>'Assessment'!B81</x:f>
        <x:v>D Circular Repair</x:v>
      </x:c>
      <x:c r="C81" s="123" t="str">
        <x:f>'Assessment'!M81</x:f>
        <x:v>N/A</x:v>
      </x:c>
      <x:c r="D81" s="124" t="str">
        <x:f>'Assessment'!G81</x:f>
        <x:v>Repairs are assigned to qualified mentors and powered items receive an appropriate post-repair safety check.</x:v>
      </x:c>
      <x:c r="E81" s="123" t="str">
        <x:f>IF('Assessment'!I81="","",'Assessment'!I81)</x:f>
      </x:c>
      <x:c r="F81" s="123" t="str">
        <x:f>'Assessment'!L81</x:f>
      </x:c>
      <x:c r="G81" s="123" t="str">
        <x:f>'Assessment'!K81</x:f>
        <x:v>N/A</x:v>
      </x:c>
      <x:c r="H81" s="123" t="n">
        <x:f>'Assessment'!N81</x:f>
        <x:v>0</x:v>
      </x:c>
      <x:c r="I81" s="154" t="str">
        <x:f>IF('Assessment'!O81="","",'Assessment'!O81)</x:f>
      </x:c>
      <x:c r="J81" s="124" t="n">
        <x:f>'Assessment'!P81</x:f>
        <x:v>0</x:v>
      </x:c>
      <x:c r="K81" s="123" t="str">
        <x:f>IF(AND('Assessment'!F81="Yes",OR('Assessment'!I81="",'Assessment'!L81&gt;0,'Assessment'!K81="No")),"Yes","No")</x:f>
        <x:v>No</x:v>
      </x:c>
    </x:row>
    <x:row r="82" ht="42" customHeight="1">
      <x:c r="A82" s="123" t="str">
        <x:f>'Assessment'!A82</x:f>
        <x:v>S077</x:v>
      </x:c>
      <x:c r="B82" s="123" t="str">
        <x:f>'Assessment'!B82</x:f>
        <x:v>D Circular Repair</x:v>
      </x:c>
      <x:c r="C82" s="123" t="str">
        <x:f>'Assessment'!M82</x:f>
        <x:v>N/A</x:v>
      </x:c>
      <x:c r="D82" s="124" t="str">
        <x:f>'Assessment'!G82</x:f>
        <x:v>Salvaged materials are screened for hazardous coatings, contamination, structural defects, and prohibited items.</x:v>
      </x:c>
      <x:c r="E82" s="123" t="str">
        <x:f>IF('Assessment'!I82="","",'Assessment'!I82)</x:f>
      </x:c>
      <x:c r="F82" s="123" t="str">
        <x:f>'Assessment'!L82</x:f>
      </x:c>
      <x:c r="G82" s="123" t="str">
        <x:f>'Assessment'!K82</x:f>
        <x:v>N/A</x:v>
      </x:c>
      <x:c r="H82" s="123" t="n">
        <x:f>'Assessment'!N82</x:f>
        <x:v>0</x:v>
      </x:c>
      <x:c r="I82" s="154" t="str">
        <x:f>IF('Assessment'!O82="","",'Assessment'!O82)</x:f>
      </x:c>
      <x:c r="J82" s="124" t="n">
        <x:f>'Assessment'!P82</x:f>
        <x:v>0</x:v>
      </x:c>
      <x:c r="K82" s="123" t="str">
        <x:f>IF(AND('Assessment'!F82="Yes",OR('Assessment'!I82="",'Assessment'!L82&gt;0,'Assessment'!K82="No")),"Yes","No")</x:f>
        <x:v>No</x:v>
      </x:c>
    </x:row>
    <x:row r="83" ht="42" customHeight="1">
      <x:c r="A83" s="123" t="str">
        <x:f>'Assessment'!A83</x:f>
        <x:v>S078</x:v>
      </x:c>
      <x:c r="B83" s="123" t="str">
        <x:f>'Assessment'!B83</x:f>
        <x:v>D Circular Repair</x:v>
      </x:c>
      <x:c r="C83" s="123" t="str">
        <x:f>'Assessment'!M83</x:f>
        <x:v>N/A</x:v>
      </x:c>
      <x:c r="D83" s="124" t="str">
        <x:f>'Assessment'!G83</x:f>
        <x:v>Diversion, repair outcomes, incidents, and repeat failures are reviewed annually.</x:v>
      </x:c>
      <x:c r="E83" s="123" t="str">
        <x:f>IF('Assessment'!I83="","",'Assessment'!I83)</x:f>
      </x:c>
      <x:c r="F83" s="123" t="str">
        <x:f>'Assessment'!L83</x:f>
      </x:c>
      <x:c r="G83" s="123" t="str">
        <x:f>'Assessment'!K83</x:f>
        <x:v>N/A</x:v>
      </x:c>
      <x:c r="H83" s="123" t="n">
        <x:f>'Assessment'!N83</x:f>
        <x:v>0</x:v>
      </x:c>
      <x:c r="I83" s="154" t="str">
        <x:f>IF('Assessment'!O83="","",'Assessment'!O83)</x:f>
      </x:c>
      <x:c r="J83" s="124" t="n">
        <x:f>'Assessment'!P83</x:f>
        <x:v>0</x:v>
      </x:c>
      <x:c r="K83" s="123" t="str">
        <x:f>IF(AND('Assessment'!F83="Yes",OR('Assessment'!I83="",'Assessment'!L83&gt;0,'Assessment'!K83="No")),"Yes","No")</x:f>
        <x:v>No</x:v>
      </x:c>
    </x:row>
    <x:row r="84" ht="42" customHeight="1">
      <x:c r="A84" s="123" t="str">
        <x:f>'Assessment'!A84</x:f>
        <x:v>S079</x:v>
      </x:c>
      <x:c r="B84" s="123" t="str">
        <x:f>'Assessment'!B84</x:f>
        <x:v>E Workspaces</x:v>
      </x:c>
      <x:c r="C84" s="123" t="str">
        <x:f>'Assessment'!M84</x:f>
        <x:v>N/A</x:v>
      </x:c>
      <x:c r="D84" s="124" t="str">
        <x:f>'Assessment'!G84</x:f>
        <x:v>Every occupant has a written license or rental agreement defining use, fees, term, termination, and non-subletting.</x:v>
      </x:c>
      <x:c r="E84" s="123" t="str">
        <x:f>IF('Assessment'!I84="","",'Assessment'!I84)</x:f>
      </x:c>
      <x:c r="F84" s="123" t="str">
        <x:f>'Assessment'!L84</x:f>
      </x:c>
      <x:c r="G84" s="123" t="str">
        <x:f>'Assessment'!K84</x:f>
        <x:v>N/A</x:v>
      </x:c>
      <x:c r="H84" s="123" t="n">
        <x:f>'Assessment'!N84</x:f>
        <x:v>0</x:v>
      </x:c>
      <x:c r="I84" s="154" t="str">
        <x:f>IF('Assessment'!O84="","",'Assessment'!O84)</x:f>
      </x:c>
      <x:c r="J84" s="124" t="n">
        <x:f>'Assessment'!P84</x:f>
        <x:v>0</x:v>
      </x:c>
      <x:c r="K84" s="123" t="str">
        <x:f>IF(AND('Assessment'!F84="Yes",OR('Assessment'!I84="",'Assessment'!L84&gt;0,'Assessment'!K84="No")),"Yes","No")</x:f>
        <x:v>No</x:v>
      </x:c>
    </x:row>
    <x:row r="85" ht="42" customHeight="1">
      <x:c r="A85" s="123" t="str">
        <x:f>'Assessment'!A85</x:f>
        <x:v>S080</x:v>
      </x:c>
      <x:c r="B85" s="123" t="str">
        <x:f>'Assessment'!B85</x:f>
        <x:v>E Workspaces</x:v>
      </x:c>
      <x:c r="C85" s="123" t="str">
        <x:f>'Assessment'!M85</x:f>
        <x:v>N/A</x:v>
      </x:c>
      <x:c r="D85" s="124" t="str">
        <x:f>'Assessment'!G85</x:f>
        <x:v>Egress, fire access, storage, chemicals, and housekeeping are inspected in private areas.</x:v>
      </x:c>
      <x:c r="E85" s="123" t="str">
        <x:f>IF('Assessment'!I85="","",'Assessment'!I85)</x:f>
      </x:c>
      <x:c r="F85" s="123" t="str">
        <x:f>'Assessment'!L85</x:f>
      </x:c>
      <x:c r="G85" s="123" t="str">
        <x:f>'Assessment'!K85</x:f>
        <x:v>N/A</x:v>
      </x:c>
      <x:c r="H85" s="123" t="n">
        <x:f>'Assessment'!N85</x:f>
        <x:v>0</x:v>
      </x:c>
      <x:c r="I85" s="154" t="str">
        <x:f>IF('Assessment'!O85="","",'Assessment'!O85)</x:f>
      </x:c>
      <x:c r="J85" s="124" t="n">
        <x:f>'Assessment'!P85</x:f>
        <x:v>0</x:v>
      </x:c>
      <x:c r="K85" s="123" t="str">
        <x:f>IF(AND('Assessment'!F85="Yes",OR('Assessment'!I85="",'Assessment'!L85&gt;0,'Assessment'!K85="No")),"Yes","No")</x:f>
        <x:v>No</x:v>
      </x:c>
    </x:row>
    <x:row r="86" ht="42" customHeight="1">
      <x:c r="A86" s="123" t="str">
        <x:f>'Assessment'!A86</x:f>
        <x:v>S081</x:v>
      </x:c>
      <x:c r="B86" s="123" t="str">
        <x:f>'Assessment'!B86</x:f>
        <x:v>E Workspaces</x:v>
      </x:c>
      <x:c r="C86" s="123" t="str">
        <x:f>'Assessment'!M86</x:f>
        <x:v>N/A</x:v>
      </x:c>
      <x:c r="D86" s="124" t="str">
        <x:f>'Assessment'!G86</x:f>
        <x:v>Electrical loads, personal machinery, alterations, hot work, and prohibited uses require defined approval.</x:v>
      </x:c>
      <x:c r="E86" s="123" t="str">
        <x:f>IF('Assessment'!I86="","",'Assessment'!I86)</x:f>
      </x:c>
      <x:c r="F86" s="123" t="str">
        <x:f>'Assessment'!L86</x:f>
      </x:c>
      <x:c r="G86" s="123" t="str">
        <x:f>'Assessment'!K86</x:f>
        <x:v>N/A</x:v>
      </x:c>
      <x:c r="H86" s="123" t="n">
        <x:f>'Assessment'!N86</x:f>
        <x:v>0</x:v>
      </x:c>
      <x:c r="I86" s="154" t="str">
        <x:f>IF('Assessment'!O86="","",'Assessment'!O86)</x:f>
      </x:c>
      <x:c r="J86" s="124" t="n">
        <x:f>'Assessment'!P86</x:f>
        <x:v>0</x:v>
      </x:c>
      <x:c r="K86" s="123" t="str">
        <x:f>IF(AND('Assessment'!F86="Yes",OR('Assessment'!I86="",'Assessment'!L86&gt;0,'Assessment'!K86="No")),"Yes","No")</x:f>
        <x:v>No</x:v>
      </x:c>
    </x:row>
    <x:row r="87" ht="42" customHeight="1">
      <x:c r="A87" s="123" t="str">
        <x:f>'Assessment'!A87</x:f>
        <x:v>S082</x:v>
      </x:c>
      <x:c r="B87" s="123" t="str">
        <x:f>'Assessment'!B87</x:f>
        <x:v>E Workspaces</x:v>
      </x:c>
      <x:c r="C87" s="123" t="str">
        <x:f>'Assessment'!M87</x:f>
        <x:v>N/A</x:v>
      </x:c>
      <x:c r="D87" s="124" t="str">
        <x:f>'Assessment'!G87</x:f>
        <x:v>Access, property risk, required insurance, disputes, and abandoned property are addressed in writing.</x:v>
      </x:c>
      <x:c r="E87" s="123" t="str">
        <x:f>IF('Assessment'!I87="","",'Assessment'!I87)</x:f>
      </x:c>
      <x:c r="F87" s="123" t="str">
        <x:f>'Assessment'!L87</x:f>
      </x:c>
      <x:c r="G87" s="123" t="str">
        <x:f>'Assessment'!K87</x:f>
        <x:v>N/A</x:v>
      </x:c>
      <x:c r="H87" s="123" t="n">
        <x:f>'Assessment'!N87</x:f>
        <x:v>0</x:v>
      </x:c>
      <x:c r="I87" s="154" t="str">
        <x:f>IF('Assessment'!O87="","",'Assessment'!O87)</x:f>
      </x:c>
      <x:c r="J87" s="124" t="n">
        <x:f>'Assessment'!P87</x:f>
        <x:v>0</x:v>
      </x:c>
      <x:c r="K87" s="123" t="str">
        <x:f>IF(AND('Assessment'!F87="Yes",OR('Assessment'!I87="",'Assessment'!L87&gt;0,'Assessment'!K87="No")),"Yes","No")</x:f>
        <x:v>No</x:v>
      </x:c>
    </x:row>
    <x:row r="88" ht="42" customHeight="1">
      <x:c r="A88" s="123" t="str">
        <x:f>'Assessment'!A88</x:f>
        <x:v>S083</x:v>
      </x:c>
      <x:c r="B88" s="123" t="str">
        <x:f>'Assessment'!B88</x:f>
        <x:v>E Workspaces</x:v>
      </x:c>
      <x:c r="C88" s="123" t="str">
        <x:f>'Assessment'!M88</x:f>
        <x:v>N/A</x:v>
      </x:c>
      <x:c r="D88" s="124" t="str">
        <x:f>'Assessment'!G88</x:f>
        <x:v>Annual portfolio review covers compliance, incidents, insurance, occupancy, subsidy, and mission alignment.</x:v>
      </x:c>
      <x:c r="E88" s="123" t="str">
        <x:f>IF('Assessment'!I88="","",'Assessment'!I88)</x:f>
      </x:c>
      <x:c r="F88" s="123" t="n">
        <x:f>'Assessment'!L88</x:f>
        <x:v>0</x:v>
      </x:c>
      <x:c r="G88" s="123" t="str">
        <x:f>'Assessment'!K88</x:f>
        <x:v>N/A</x:v>
      </x:c>
      <x:c r="H88" s="123" t="n">
        <x:f>'Assessment'!N88</x:f>
        <x:v>0</x:v>
      </x:c>
      <x:c r="I88" s="154" t="str">
        <x:f>IF('Assessment'!O88="","",'Assessment'!O88)</x:f>
      </x:c>
      <x:c r="J88" s="124" t="n">
        <x:f>'Assessment'!P88</x:f>
        <x:v>0</x:v>
      </x:c>
      <x:c r="K88" s="123" t="str">
        <x:f>IF(AND('Assessment'!F88="Yes",OR('Assessment'!I88="",'Assessment'!L88&gt;0,'Assessment'!K88="No")),"Yes","No")</x:f>
        <x:v>No</x:v>
      </x:c>
    </x:row>
  </x:sheetData>
  <x:mergeCells>
    <x:mergeCell ref="A1:K2"/>
    <x:mergeCell ref="A3:K3"/>
  </x:mergeCells>
  <x:conditionalFormatting sqref="K6:K88">
    <x:cfRule type="containsText" dxfId="6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586c92b04a634f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48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33" t="str">
        <x:v>Scoring and Review Guide</x:v>
      </x:c>
      <x:c r="B1" s="33"/>
      <x:c r="C1" s="33"/>
      <x:c r="D1" s="33"/>
      <x:c r="E1" s="33"/>
      <x:c r="F1" s="33"/>
    </x:row>
    <x:row r="2">
      <x:c r="A2" s="33"/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>
      <x:c r="A4" s="37" t="str">
        <x:v>Score</x:v>
      </x:c>
      <x:c r="B4" s="37" t="str">
        <x:v>Meaning</x:v>
      </x:c>
      <x:c r="C4" s="37" t="str">
        <x:v>Evidence test</x:v>
      </x:c>
      <x:c r="D4" s="34"/>
      <x:c r="E4" s="34"/>
      <x:c r="F4" s="34"/>
    </x:row>
    <x:row r="5" ht="48" customHeight="1">
      <x:c r="A5" s="155" t="n">
        <x:v>0</x:v>
      </x:c>
      <x:c r="B5" s="156" t="str">
        <x:v>Absent</x:v>
      </x:c>
      <x:c r="C5" s="157" t="str">
        <x:v>No reliable practice or evidence.</x:v>
      </x:c>
      <x:c r="D5" s="34"/>
      <x:c r="E5" s="34"/>
      <x:c r="F5" s="34"/>
    </x:row>
    <x:row r="6" ht="48" customHeight="1">
      <x:c r="A6" s="158" t="n">
        <x:v>1</x:v>
      </x:c>
      <x:c r="B6" s="159" t="str">
        <x:v>Foundational</x:v>
      </x:c>
      <x:c r="C6" s="160" t="str">
        <x:v>Basic practice exists; may be informal or inconsistent; minimum evidence is available.</x:v>
      </x:c>
      <x:c r="D6" s="34"/>
      <x:c r="E6" s="34"/>
      <x:c r="F6" s="34"/>
    </x:row>
    <x:row r="7" ht="48" customHeight="1">
      <x:c r="A7" s="158" t="n">
        <x:v>2</x:v>
      </x:c>
      <x:c r="B7" s="159" t="str">
        <x:v>Operational</x:v>
      </x:c>
      <x:c r="C7" s="160" t="str">
        <x:v>Written, assigned, consistently implemented, and supported by current evidence.</x:v>
      </x:c>
      <x:c r="D7" s="34"/>
      <x:c r="E7" s="34"/>
      <x:c r="F7" s="34"/>
    </x:row>
    <x:row r="8" ht="48" customHeight="1">
      <x:c r="A8" s="161" t="n">
        <x:v>3</x:v>
      </x:c>
      <x:c r="B8" s="162" t="str">
        <x:v>Sustained / review-ready</x:v>
      </x:c>
      <x:c r="C8" s="163" t="str">
        <x:v>Effectiveness is reviewed; improvements are documented; historical evidence supports continuity.</x:v>
      </x:c>
      <x:c r="D8" s="34"/>
      <x:c r="E8" s="34"/>
      <x:c r="F8" s="34"/>
    </x:row>
    <x:row r="9">
      <x:c r="A9" s="34"/>
      <x:c r="B9" s="34"/>
      <x:c r="C9" s="34"/>
      <x:c r="D9" s="34"/>
      <x:c r="E9" s="34"/>
      <x:c r="F9" s="34"/>
    </x:row>
    <x:row r="10">
      <x:c r="A10" s="35" t="str">
        <x:v>Suggested review method</x:v>
      </x:c>
      <x:c r="B10" s="35"/>
      <x:c r="C10" s="35"/>
      <x:c r="D10" s="35"/>
      <x:c r="E10" s="35"/>
      <x:c r="F10" s="35"/>
    </x:row>
    <x:row r="11">
      <x:c r="A11" s="164" t="str">
        <x:v>1</x:v>
      </x:c>
      <x:c r="B11" s="164" t="str">
        <x:v>Assign two reviewers where practical; include operations and governance perspectives.</x:v>
      </x:c>
      <x:c r="C11" s="164"/>
      <x:c r="D11" s="164"/>
      <x:c r="E11" s="164"/>
      <x:c r="F11" s="164"/>
    </x:row>
    <x:row r="12">
      <x:c r="A12" s="164" t="str">
        <x:v>2</x:v>
      </x:c>
      <x:c r="B12" s="164" t="str">
        <x:v>Score only what can be demonstrated as of the assessment date.</x:v>
      </x:c>
      <x:c r="C12" s="164"/>
      <x:c r="D12" s="164"/>
      <x:c r="E12" s="164"/>
      <x:c r="F12" s="164"/>
    </x:row>
    <x:row r="13">
      <x:c r="A13" s="164" t="str">
        <x:v>3</x:v>
      </x:c>
      <x:c r="B13" s="164" t="str">
        <x:v>For a sample of standards, interview users or observe the facility to confirm implementation.</x:v>
      </x:c>
      <x:c r="C13" s="164"/>
      <x:c r="D13" s="164"/>
      <x:c r="E13" s="164"/>
      <x:c r="F13" s="164"/>
    </x:row>
    <x:row r="14">
      <x:c r="A14" s="164" t="str">
        <x:v>4</x:v>
      </x:c>
      <x:c r="B14" s="164" t="str">
        <x:v>Treat critical safety, youth-protection, legal, financial-control, and access-control gaps as urgent.</x:v>
      </x:c>
      <x:c r="C14" s="164"/>
      <x:c r="D14" s="164"/>
      <x:c r="E14" s="164"/>
      <x:c r="F14" s="164"/>
    </x:row>
    <x:row r="15">
      <x:c r="A15" s="164" t="str">
        <x:v>5</x:v>
      </x:c>
      <x:c r="B15" s="164" t="str">
        <x:v>Record disagreements and resolve them through evidence, not averaging unsupported opinions.</x:v>
      </x:c>
      <x:c r="C15" s="164"/>
      <x:c r="D15" s="164"/>
      <x:c r="E15" s="164"/>
      <x:c r="F15" s="164"/>
    </x:row>
    <x:row r="16">
      <x:c r="A16" s="164" t="str">
        <x:v>6</x:v>
      </x:c>
      <x:c r="B16" s="164" t="str">
        <x:v>Have the board or governing authority accept the results and improvement plan.</x:v>
      </x:c>
      <x:c r="C16" s="164"/>
      <x:c r="D16" s="164"/>
      <x:c r="E16" s="164"/>
      <x:c r="F16" s="164"/>
    </x:row>
    <x:row r="17">
      <x:c r="A17" s="34"/>
      <x:c r="B17" s="34"/>
      <x:c r="C17" s="34"/>
      <x:c r="D17" s="34"/>
      <x:c r="E17" s="34"/>
      <x:c r="F17" s="34"/>
    </x:row>
    <x:row r="18" ht="48" customHeight="1">
      <x:c r="A18" s="45" t="str">
        <x:v>Evidence should be specific and dated. Examples: a policy title and approval date; a URL; a folder path; a log date range; an inspection record; or a verifiable physical observation. Protect confidential personnel, incident, youth, and complainant information.</x:v>
      </x:c>
      <x:c r="B18" s="45"/>
      <x:c r="C18" s="45"/>
      <x:c r="D18" s="45"/>
      <x:c r="E18" s="45"/>
      <x:c r="F18" s="45"/>
    </x:row>
  </x:sheetData>
  <x:mergeCells>
    <x:mergeCell ref="A1:F2"/>
    <x:mergeCell ref="A10:F10"/>
    <x:mergeCell ref="A18:F18"/>
  </x:mergeCells>
  <x:pageMargins left="0.7" right="0.7" top="0.75" bottom="0.75" header="0.3" footer="0.3"/>
</x:worksheet>
</file>